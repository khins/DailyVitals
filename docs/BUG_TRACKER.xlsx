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evin\source\repos\DailyVitalsApp\docs\"/>
    </mc:Choice>
  </mc:AlternateContent>
  <xr:revisionPtr revIDLastSave="0" documentId="13_ncr:1_{203985B3-FB50-49DB-9C2B-9EB8D122B4E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ug Tracker" sheetId="1" r:id="rId1"/>
    <sheet name="Dashboard" sheetId="2" r:id="rId2"/>
    <sheet name="Instructions" sheetId="3" r:id="rId3"/>
    <sheet name="Release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E14" i="2"/>
  <c r="E13" i="2"/>
  <c r="E12" i="2"/>
  <c r="E11" i="2"/>
  <c r="B11" i="2"/>
  <c r="E10" i="2"/>
  <c r="B10" i="2"/>
  <c r="E9" i="2"/>
  <c r="B9" i="2"/>
  <c r="H8" i="2"/>
  <c r="E8" i="2"/>
  <c r="B8" i="2"/>
  <c r="H7" i="2"/>
  <c r="E7" i="2"/>
  <c r="B7" i="2"/>
  <c r="H6" i="2"/>
  <c r="E6" i="2"/>
  <c r="B6" i="2"/>
  <c r="H5" i="2"/>
  <c r="E5" i="2"/>
  <c r="B5" i="2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<sst xmlns="http://schemas.openxmlformats.org/spreadsheetml/2006/main" count="601" uniqueCount="319">
  <si>
    <t>Bug ID</t>
  </si>
  <si>
    <t>Date Reported</t>
  </si>
  <si>
    <t>Priority</t>
  </si>
  <si>
    <t>Module</t>
  </si>
  <si>
    <t>Type</t>
  </si>
  <si>
    <t>Bug Title</t>
  </si>
  <si>
    <t>Description / Steps to Reproduce</t>
  </si>
  <si>
    <t>Expected Result</t>
  </si>
  <si>
    <t>Actual Result</t>
  </si>
  <si>
    <t>Feature Branch</t>
  </si>
  <si>
    <t>Status</t>
  </si>
  <si>
    <t>Screenshot / File Link</t>
  </si>
  <si>
    <t>Notes</t>
  </si>
  <si>
    <t>Root Cause</t>
  </si>
  <si>
    <t>Fix / Commit</t>
  </si>
  <si>
    <t>Verified</t>
  </si>
  <si>
    <t>Date Closed</t>
  </si>
  <si>
    <t>Age (Days)</t>
  </si>
  <si>
    <t>AV-001</t>
  </si>
  <si>
    <t>High</t>
  </si>
  <si>
    <t>Authentication</t>
  </si>
  <si>
    <t>Bug</t>
  </si>
  <si>
    <t>User session expires unexpectedly after deployment</t>
  </si>
  <si>
    <t>1. Sign in
2. Leave the app idle
3. Return and navigate to Dashboard</t>
  </si>
  <si>
    <t>User remains signed in for the configured session duration.</t>
  </si>
  <si>
    <t>User is redirected to Sign In sooner than expected.</t>
  </si>
  <si>
    <t>feature/session-persistence</t>
  </si>
  <si>
    <t>Investigating</t>
  </si>
  <si>
    <t>docs/screenshots/AV-001-session.png</t>
  </si>
  <si>
    <t>Confirm Data Protection keys persist on Railway volume.</t>
  </si>
  <si>
    <t>No</t>
  </si>
  <si>
    <t>AV-002</t>
  </si>
  <si>
    <t>Open</t>
  </si>
  <si>
    <t>AV-003</t>
  </si>
  <si>
    <t>AV-004</t>
  </si>
  <si>
    <t>AV-005</t>
  </si>
  <si>
    <t>AV-006</t>
  </si>
  <si>
    <t>AV-007</t>
  </si>
  <si>
    <t>AV-008</t>
  </si>
  <si>
    <t>AV-009</t>
  </si>
  <si>
    <t>AV-010</t>
  </si>
  <si>
    <t>AV-011</t>
  </si>
  <si>
    <t>AV-012</t>
  </si>
  <si>
    <t>AV-013</t>
  </si>
  <si>
    <t>AV-014</t>
  </si>
  <si>
    <t>AV-015</t>
  </si>
  <si>
    <t>AV-016</t>
  </si>
  <si>
    <t>AV-017</t>
  </si>
  <si>
    <t>AV-018</t>
  </si>
  <si>
    <t>AV-019</t>
  </si>
  <si>
    <t>AV-020</t>
  </si>
  <si>
    <t>AV-021</t>
  </si>
  <si>
    <t>AV-022</t>
  </si>
  <si>
    <t>AV-023</t>
  </si>
  <si>
    <t>AV-024</t>
  </si>
  <si>
    <t>AV-025</t>
  </si>
  <si>
    <t>AV-026</t>
  </si>
  <si>
    <t>AV-027</t>
  </si>
  <si>
    <t>AV-028</t>
  </si>
  <si>
    <t>AV-029</t>
  </si>
  <si>
    <t>AV-030</t>
  </si>
  <si>
    <t>AV-031</t>
  </si>
  <si>
    <t>AV-032</t>
  </si>
  <si>
    <t>AV-033</t>
  </si>
  <si>
    <t>AV-034</t>
  </si>
  <si>
    <t>AV-035</t>
  </si>
  <si>
    <t>AV-036</t>
  </si>
  <si>
    <t>AV-037</t>
  </si>
  <si>
    <t>AV-038</t>
  </si>
  <si>
    <t>AV-039</t>
  </si>
  <si>
    <t>AV-040</t>
  </si>
  <si>
    <t>AV-041</t>
  </si>
  <si>
    <t>AV-042</t>
  </si>
  <si>
    <t>AV-043</t>
  </si>
  <si>
    <t>AV-044</t>
  </si>
  <si>
    <t>AV-045</t>
  </si>
  <si>
    <t>AV-046</t>
  </si>
  <si>
    <t>AV-047</t>
  </si>
  <si>
    <t>AV-048</t>
  </si>
  <si>
    <t>AV-049</t>
  </si>
  <si>
    <t>AV-050</t>
  </si>
  <si>
    <t>ActiveVitals Bug Tracker Dashboard</t>
  </si>
  <si>
    <t>KPI</t>
  </si>
  <si>
    <t>Count</t>
  </si>
  <si>
    <t>Total Issues</t>
  </si>
  <si>
    <t>Critical</t>
  </si>
  <si>
    <t>Open / Active</t>
  </si>
  <si>
    <t>Branch Created</t>
  </si>
  <si>
    <t>Medium</t>
  </si>
  <si>
    <t>In Development</t>
  </si>
  <si>
    <t>Low</t>
  </si>
  <si>
    <t>Ready for Testing</t>
  </si>
  <si>
    <t>Blocked</t>
  </si>
  <si>
    <t>Testing</t>
  </si>
  <si>
    <t>Closed / Verified</t>
  </si>
  <si>
    <t>Closed</t>
  </si>
  <si>
    <t>Deferred</t>
  </si>
  <si>
    <t>Workflow: Log issue → create feature branch → develop with Codex → test → merge → verify production → close</t>
  </si>
  <si>
    <t>How to Use the ActiveVitals Bug Tracker</t>
  </si>
  <si>
    <t>Step</t>
  </si>
  <si>
    <t>What to Do</t>
  </si>
  <si>
    <t>Example</t>
  </si>
  <si>
    <t>1</t>
  </si>
  <si>
    <t>Enter a short, specific bug title.</t>
  </si>
  <si>
    <t>Hydration total differs between dashboard and history</t>
  </si>
  <si>
    <t>2</t>
  </si>
  <si>
    <t>Record exact reproduction steps and the expected/actual results.</t>
  </si>
  <si>
    <t>Log 12 fl oz water; dashboard should increase by 355 mL</t>
  </si>
  <si>
    <t>3</t>
  </si>
  <si>
    <t>Set priority, module, type, and status using the drop-down lists.</t>
  </si>
  <si>
    <t>High / Hydration / Bug / Open</t>
  </si>
  <si>
    <t>4</t>
  </si>
  <si>
    <t>Save screenshots under docs/screenshots and paste the relative path or link.</t>
  </si>
  <si>
    <t>docs/screenshots/AV-004-hydration-total.png</t>
  </si>
  <si>
    <t>5</t>
  </si>
  <si>
    <t>Create a Git feature branch and enter it in Feature Branch.</t>
  </si>
  <si>
    <t>feature/AV-004-hydration-total</t>
  </si>
  <si>
    <t>6</t>
  </si>
  <si>
    <t>After Codex completes the change, enter root cause, commit, and move to Testing.</t>
  </si>
  <si>
    <t>Null conversion used ounces instead of milliliters</t>
  </si>
  <si>
    <t>7</t>
  </si>
  <si>
    <t>Verify locally and in Railway production before marking Verified or Closed.</t>
  </si>
  <si>
    <t>Verified on myactivevitals.com</t>
  </si>
  <si>
    <t>8</t>
  </si>
  <si>
    <t>Use Dashboard to monitor open, blocked, priority, and closed counts.</t>
  </si>
  <si>
    <t>Review before each doctor/nurse demo</t>
  </si>
  <si>
    <t>Suggested Status Flow</t>
  </si>
  <si>
    <t>Open → Investigating → Branch Created → In Development → Ready for Testing → Testing → Verified → Closed</t>
  </si>
  <si>
    <t>Version</t>
  </si>
  <si>
    <t>Release Date</t>
  </si>
  <si>
    <t>Environment</t>
  </si>
  <si>
    <t>Summary</t>
  </si>
  <si>
    <t>Issues Included</t>
  </si>
  <si>
    <t>Production Verified</t>
  </si>
  <si>
    <t>Production</t>
  </si>
  <si>
    <t>Remember device</t>
  </si>
  <si>
    <t>previously logged in user should have password pop to fill in</t>
  </si>
  <si>
    <t>docs/screenshots/AV-002.png</t>
  </si>
  <si>
    <t>Security</t>
  </si>
  <si>
    <t>show password</t>
  </si>
  <si>
    <t>show password is checked but not showing typed password</t>
  </si>
  <si>
    <t>docs/screenshots/AV-003.png</t>
  </si>
  <si>
    <t>blood pressure reading entry blanks out on Save and does nothing</t>
  </si>
  <si>
    <t>Blood Pressure</t>
  </si>
  <si>
    <t>blood pressure save</t>
  </si>
  <si>
    <t>docs/screenshots/AV-004.png</t>
  </si>
  <si>
    <t>fields blank and show the required fields to enter when user clicks save</t>
  </si>
  <si>
    <t>The blood pressure entry should persist to database</t>
  </si>
  <si>
    <t>null entry</t>
  </si>
  <si>
    <t>does nothing</t>
  </si>
  <si>
    <t>should so password</t>
  </si>
  <si>
    <t>should pop with browser password manager to fill password</t>
  </si>
  <si>
    <t>blood glucose entry blanks out on Save and pops required fields; no value saves</t>
  </si>
  <si>
    <t>blood glucose save</t>
  </si>
  <si>
    <t>Glucose</t>
  </si>
  <si>
    <t>The glucose entry should persist to database</t>
  </si>
  <si>
    <t>docs/screenshots/AV-005.png</t>
  </si>
  <si>
    <t>BMI is not calculating on after entry of the weight value</t>
  </si>
  <si>
    <t>Weight</t>
  </si>
  <si>
    <t>BMI calculation</t>
  </si>
  <si>
    <t>BMI textbox shows the current index</t>
  </si>
  <si>
    <t>docs/screenshots/AV-006.png</t>
  </si>
  <si>
    <t>docs/screenshots/AV-007.png</t>
  </si>
  <si>
    <t>docs/screenshots/AV-008.png</t>
  </si>
  <si>
    <t>docs/screenshots/AV-009.png</t>
  </si>
  <si>
    <t>docs/screenshots/AV-010.png</t>
  </si>
  <si>
    <t>on Save the form entry blanks out and shows the required field message; does not save</t>
  </si>
  <si>
    <t>weight entry save</t>
  </si>
  <si>
    <t>The weight entry should persist to database</t>
  </si>
  <si>
    <t>selecting Other in exercise entry should open box for user to manually add a new exercise, does nothing</t>
  </si>
  <si>
    <t>add new exercise other</t>
  </si>
  <si>
    <t>Exercise</t>
  </si>
  <si>
    <t xml:space="preserve">The user should be able to add a new exercise </t>
  </si>
  <si>
    <t>on Save entry for exercise form the fields blank out and does not save</t>
  </si>
  <si>
    <t>save new exercise</t>
  </si>
  <si>
    <t>The exercise entry should save when clicking save</t>
  </si>
  <si>
    <t>reports details buttons should pop with modal message, does nothing</t>
  </si>
  <si>
    <t>reports detail buttons</t>
  </si>
  <si>
    <t>Reports</t>
  </si>
  <si>
    <t>The details modal pop message should show values</t>
  </si>
  <si>
    <t>feature/blood-pressure-save</t>
  </si>
  <si>
    <t>SSR form-post binding failure</t>
  </si>
  <si>
    <t>page isn't working message</t>
  </si>
  <si>
    <t>page comes back with page isn't working</t>
  </si>
  <si>
    <t>docs/screenshots/AV-011.png</t>
  </si>
  <si>
    <r>
      <t xml:space="preserve">production sign-in page was using Blazor SSR/interactive </t>
    </r>
    <r>
      <rPr>
        <sz val="10"/>
        <rFont val="Arial Unicode MS"/>
      </rPr>
      <t>EditForm</t>
    </r>
    <r>
      <rPr>
        <sz val="11"/>
        <rFont val="Carlito"/>
      </rPr>
      <t xml:space="preserve"> submission for authentication</t>
    </r>
  </si>
  <si>
    <t>Yes</t>
  </si>
  <si>
    <t>returning to blood pressure entry screen came back with development mode</t>
  </si>
  <si>
    <t>docs/screenshots/AV-012.png</t>
  </si>
  <si>
    <t>feature/page-load-bp-error</t>
  </si>
  <si>
    <t>form view shows and saves</t>
  </si>
  <si>
    <t>selected value should be able to delete but button remains disabled</t>
  </si>
  <si>
    <t>bp delete button remains disabled</t>
  </si>
  <si>
    <t>selected bp reading should be able to delete</t>
  </si>
  <si>
    <t>remains disabled</t>
  </si>
  <si>
    <t>feature/glucose-save-error</t>
  </si>
  <si>
    <r>
      <t xml:space="preserve">Converted Weight from Blazor </t>
    </r>
    <r>
      <rPr>
        <sz val="10"/>
        <rFont val="Arial Unicode MS"/>
      </rPr>
      <t>EditForm</t>
    </r>
    <r>
      <rPr>
        <sz val="11"/>
        <rFont val="Carlito"/>
      </rPr>
      <t xml:space="preserve"> postback to a normal server POST</t>
    </r>
  </si>
  <si>
    <t>9e18ea9</t>
  </si>
  <si>
    <t>1d14b8a</t>
  </si>
  <si>
    <t>BMI now recalculates when the user types a weight or changes uni</t>
  </si>
  <si>
    <t>592e5fd</t>
  </si>
  <si>
    <t>uses a tiny JS helper, so it doesn’t depend on Blazor state refresh timing</t>
  </si>
  <si>
    <t>nutrition sub menu error</t>
  </si>
  <si>
    <t>Nutrition</t>
  </si>
  <si>
    <t>nutrition sub menu fails loading all sub menus</t>
  </si>
  <si>
    <t>docs/screenshots/AV-014.png</t>
  </si>
  <si>
    <t>same error as other save actions - form goes blank pops required validations</t>
  </si>
  <si>
    <t>fluid intake save error</t>
  </si>
  <si>
    <t>Hydration</t>
  </si>
  <si>
    <t>docs/screenshots/AV-015.png</t>
  </si>
  <si>
    <t>kidney lab entry save error</t>
  </si>
  <si>
    <t>Kidney Labs</t>
  </si>
  <si>
    <t>docs/screenshots/AV-016.png</t>
  </si>
  <si>
    <t>all helper modal buttons on kidney lab panel aren't popping</t>
  </si>
  <si>
    <t>kidney lab pop</t>
  </si>
  <si>
    <t>time of entry is not default setting to CST, is this a setting in profile and then it will be according to the user local</t>
  </si>
  <si>
    <t>Data Issue</t>
  </si>
  <si>
    <t xml:space="preserve">CST time value </t>
  </si>
  <si>
    <t>should be CST</t>
  </si>
  <si>
    <t>appears east coat</t>
  </si>
  <si>
    <t>docs/screenshots/AV-017.png</t>
  </si>
  <si>
    <t>hide Renal Friendly Foods menu for now</t>
  </si>
  <si>
    <t>Enhancement</t>
  </si>
  <si>
    <t>Other</t>
  </si>
  <si>
    <t>needs to be restructured to global foods not person specific</t>
  </si>
  <si>
    <t>docs/screenshots/AV-018.png</t>
  </si>
  <si>
    <t>docs/screenshots/AV-019.png</t>
  </si>
  <si>
    <t>docs/screenshots/AV-020.png</t>
  </si>
  <si>
    <t>docs/screenshots/AV-021.png</t>
  </si>
  <si>
    <t>docs/screenshots/AV-022.png</t>
  </si>
  <si>
    <t>docs/screenshots/AV-023.png</t>
  </si>
  <si>
    <t>docs/screenshots/AV-024.png</t>
  </si>
  <si>
    <t>plain server POST endpoint</t>
  </si>
  <si>
    <t>feature/add-new-exercise</t>
  </si>
  <si>
    <t>35d218d</t>
  </si>
  <si>
    <t>delete button remains disabled for selected item, it should be able to delete as normal</t>
  </si>
  <si>
    <t>delete button disabled</t>
  </si>
  <si>
    <t>make selection and delete work through normal browser/server requests</t>
  </si>
  <si>
    <t>932b0c2</t>
  </si>
  <si>
    <t>feature/exercise-delete-button-disabled</t>
  </si>
  <si>
    <t>move the save action out of Blazor validation and into a server endpoint</t>
  </si>
  <si>
    <t>66b11c5</t>
  </si>
  <si>
    <t>fluid intake delete</t>
  </si>
  <si>
    <r>
      <t xml:space="preserve">verify the menu no longer has those fragile </t>
    </r>
    <r>
      <rPr>
        <sz val="10"/>
        <rFont val="Arial Unicode MS"/>
      </rPr>
      <t>@onclick</t>
    </r>
    <r>
      <rPr>
        <sz val="11"/>
        <rFont val="Carlito"/>
      </rPr>
      <t xml:space="preserve"> submenu buttons</t>
    </r>
  </si>
  <si>
    <t>feature/nutrition-sub-menu-load-failure</t>
  </si>
  <si>
    <t>fa23273</t>
  </si>
  <si>
    <t>add food item on save blanks fields out does nothing</t>
  </si>
  <si>
    <t>nutrition save error</t>
  </si>
  <si>
    <r>
      <t xml:space="preserve">the modal exists, but the Details buttons are </t>
    </r>
    <r>
      <rPr>
        <sz val="10"/>
        <rFont val="Arial Unicode MS"/>
      </rPr>
      <t>@onclick</t>
    </r>
    <r>
      <rPr>
        <sz val="11"/>
        <rFont val="Carlito"/>
      </rPr>
      <t xml:space="preserve"> only</t>
    </r>
  </si>
  <si>
    <t>d4b5ee6</t>
  </si>
  <si>
    <t>8cfb9c4</t>
  </si>
  <si>
    <t>remove delete button</t>
  </si>
  <si>
    <t>time change should automatically update the Notes as shown, does nothing</t>
  </si>
  <si>
    <t>update time</t>
  </si>
  <si>
    <t>docs/screenshots/AV-025.png</t>
  </si>
  <si>
    <t>docs/screenshots/AV-026.png</t>
  </si>
  <si>
    <t>delete button is remains disabled, user should be able to change fluid records</t>
  </si>
  <si>
    <t>disable delete button</t>
  </si>
  <si>
    <t>docs/screenshots/AV-027.png</t>
  </si>
  <si>
    <t>docs/screenshots/AV-028.png</t>
  </si>
  <si>
    <t>docs/screenshots/AV-030.png</t>
  </si>
  <si>
    <t>docs/screenshots/AV-031.png</t>
  </si>
  <si>
    <t>all buttons New, Delete and Save are inoperable</t>
  </si>
  <si>
    <t>inoperable buttons</t>
  </si>
  <si>
    <t>23f1cbe</t>
  </si>
  <si>
    <t>New button should reset the page and clear the validation errors but does nothing</t>
  </si>
  <si>
    <t>New button inoperable</t>
  </si>
  <si>
    <t>Save blanks out form and does not save newly entered food item</t>
  </si>
  <si>
    <t>Save new food inoperable</t>
  </si>
  <si>
    <t>interactive server connection is falling back to a normal POST</t>
  </si>
  <si>
    <t>feature/inoperable-save-new-food-button</t>
  </si>
  <si>
    <t>56abd35  58ecfef  3ba3a1c</t>
  </si>
  <si>
    <t>Dashboard</t>
  </si>
  <si>
    <t>titiling</t>
  </si>
  <si>
    <t>fix titles</t>
  </si>
  <si>
    <t>docs/screenshots/AV-032.png</t>
  </si>
  <si>
    <t>create account error</t>
  </si>
  <si>
    <t>create account is going back to sign in and won't let person create the new account</t>
  </si>
  <si>
    <r>
      <t xml:space="preserve">Blazor event and then attempts to establish the authentication cookie. If the cookie is not committed before navigation, </t>
    </r>
    <r>
      <rPr>
        <sz val="10"/>
        <rFont val="Arial Unicode MS"/>
      </rPr>
      <t>/profile</t>
    </r>
    <r>
      <rPr>
        <sz val="11"/>
        <rFont val="Carlito"/>
      </rPr>
      <t xml:space="preserve"> sees an anonymous request and sends the new user back to sign-in.</t>
    </r>
  </si>
  <si>
    <t>591d24f</t>
  </si>
  <si>
    <t>add timezone setting here for user to select the timezone region</t>
  </si>
  <si>
    <t>need timezone area</t>
  </si>
  <si>
    <t>on Save Profile the toaster pop message should last about 5 seconds or what a typical modern website does now, because this isn't useful as a signal after a while</t>
  </si>
  <si>
    <t>save profile toaster pop</t>
  </si>
  <si>
    <t>docs/screenshots/AV-033.png</t>
  </si>
  <si>
    <t>if Diabetic checked show this menu item, if unchecked hide it</t>
  </si>
  <si>
    <t>diabetic program</t>
  </si>
  <si>
    <t>docs/screenshots/AV-034.png</t>
  </si>
  <si>
    <t>if checked box open for edit leave default to 100, if unchecked hide this box</t>
  </si>
  <si>
    <t>docs/screenshots/AV-035.png</t>
  </si>
  <si>
    <t>toggle buttons</t>
  </si>
  <si>
    <t>toggle buttons should be to on or off for each value and reflected as such in all the other pages of the website that use or show these values, because a person maay not necessarily care for any or even all of these attributes</t>
  </si>
  <si>
    <t>If Weight-loss focus is checked, hide the boxes marked with an X and reflect this on every page that uses or displays these values. Otherwise, show them and retain their default values.</t>
  </si>
  <si>
    <t>weight loss</t>
  </si>
  <si>
    <t>docs/screenshots/AV-038.png</t>
  </si>
  <si>
    <t>docs/screenshots/AV-037.png</t>
  </si>
  <si>
    <t>add sugar limit in database if checked show, if unchecked hide</t>
  </si>
  <si>
    <t>sugar limit</t>
  </si>
  <si>
    <t>docs/screenshots/AV-039.png</t>
  </si>
  <si>
    <t>c4ef2c7</t>
  </si>
  <si>
    <t>remove default note because taking weight in afternoon doesn't reflect correctly</t>
  </si>
  <si>
    <t>weight default note</t>
  </si>
  <si>
    <t>docs/screenshots/AV-040.png</t>
  </si>
  <si>
    <t>since I realized that this webapp can handle more than just renal patients I don't want to save the JSON response maybe we show it but not save it</t>
  </si>
  <si>
    <t>nutrition notes</t>
  </si>
  <si>
    <t>docs/screenshots/AV-041.png</t>
  </si>
  <si>
    <t>the estimate button is no longer working</t>
  </si>
  <si>
    <t>estimate button</t>
  </si>
  <si>
    <t>estimate button should appear disabled until person enters the item to look up</t>
  </si>
  <si>
    <t>cdb28d2</t>
  </si>
  <si>
    <t>HTTP 401
invalid_api_key
Replace OPENAI_API_KEY in the environment</t>
  </si>
  <si>
    <t>9d1d259</t>
  </si>
  <si>
    <t>b69a9b9</t>
  </si>
  <si>
    <t>e5a4515</t>
  </si>
  <si>
    <t>6827a9b</t>
  </si>
  <si>
    <t>f4d1e28</t>
  </si>
  <si>
    <t>3c6a9be</t>
  </si>
  <si>
    <t>1e00673</t>
  </si>
  <si>
    <t>aff118e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</si>
</sst>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1"/>
      <color rgb="FFFFFFFF"/>
      <name val="Carlito"/>
    </font>
    <font>
      <b/>
      <sz val="18"/>
      <color rgb="FFFFFFFF"/>
      <name val="Carlito"/>
    </font>
    <font>
      <i/>
      <sz val="11"/>
      <color rgb="FF17324D"/>
      <name val="Carlito"/>
    </font>
    <font>
      <b/>
      <sz val="17"/>
      <color rgb="FFFFFFFF"/>
      <name val="Carlito"/>
    </font>
    <font>
      <b/>
      <sz val="11"/>
      <color rgb="FF17324D"/>
      <name val="Carlito"/>
    </font>
    <font>
      <sz val="10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0" borderId="0" xfId="0"/>
    <xf numFmtId="11" fontId="0" fillId="0" borderId="0" xfId="0" applyNumberFormat="1" applyAlignment="1">
      <alignment vertical="top" wrapText="1"/>
    </xf>
  </cellXfs>
  <cellStyles count="1">
    <cellStyle name="Normal" xfId="0" builtinId="0"/>
  </cellStyles>
  <dxfs count="9">
    <dxf>
      <font>
        <b/>
        <color rgb="FF274E13"/>
      </font>
      <fill>
        <patternFill patternType="solid">
          <bgColor rgb="FFD9EAD3"/>
        </patternFill>
      </fill>
    </dxf>
    <dxf>
      <font>
        <color rgb="FF9C5700"/>
      </font>
      <fill>
        <patternFill patternType="solid">
          <bgColor rgb="FFFCE5CD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5700"/>
      </font>
      <fill>
        <patternFill patternType="solid">
          <bgColor rgb="FFFCE5CD"/>
        </patternFill>
      </fill>
    </dxf>
    <dxf>
      <font>
        <b/>
        <color rgb="FF842029"/>
      </font>
      <fill>
        <patternFill patternType="solid">
          <bgColor rgb="FFF8D7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ugTrackerTable" displayName="BugTrackerTable" ref="A1:R51">
  <autoFilter ref="A1:R51" xr:uid="{00000000-000C-0000-FFFF-FFFF00000000}">
    <filterColumn colId="10">
      <filters>
        <filter val="Open"/>
      </filters>
    </filterColumn>
  </autoFilter>
  <tableColumns count="18">
    <tableColumn id="1" xr3:uid="{00000000-0010-0000-0000-000001000000}" name="Bug ID"/>
    <tableColumn id="2" xr3:uid="{00000000-0010-0000-0000-000002000000}" name="Date Reported"/>
    <tableColumn id="3" xr3:uid="{00000000-0010-0000-0000-000003000000}" name="Priority"/>
    <tableColumn id="4" xr3:uid="{00000000-0010-0000-0000-000004000000}" name="Module"/>
    <tableColumn id="5" xr3:uid="{00000000-0010-0000-0000-000005000000}" name="Type"/>
    <tableColumn id="6" xr3:uid="{00000000-0010-0000-0000-000006000000}" name="Bug Title"/>
    <tableColumn id="7" xr3:uid="{00000000-0010-0000-0000-000007000000}" name="Description / Steps to Reproduce"/>
    <tableColumn id="8" xr3:uid="{00000000-0010-0000-0000-000008000000}" name="Expected Result"/>
    <tableColumn id="9" xr3:uid="{00000000-0010-0000-0000-000009000000}" name="Actual Result"/>
    <tableColumn id="10" xr3:uid="{00000000-0010-0000-0000-00000A000000}" name="Feature Branch"/>
    <tableColumn id="11" xr3:uid="{00000000-0010-0000-0000-00000B000000}" name="Status"/>
    <tableColumn id="12" xr3:uid="{00000000-0010-0000-0000-00000C000000}" name="Screenshot / File Link"/>
    <tableColumn id="13" xr3:uid="{00000000-0010-0000-0000-00000D000000}" name="Notes"/>
    <tableColumn id="14" xr3:uid="{00000000-0010-0000-0000-00000E000000}" name="Root Cause"/>
    <tableColumn id="15" xr3:uid="{00000000-0010-0000-0000-00000F000000}" name="Fix / Commit"/>
    <tableColumn id="16" xr3:uid="{00000000-0010-0000-0000-000010000000}" name="Verified"/>
    <tableColumn id="17" xr3:uid="{00000000-0010-0000-0000-000011000000}" name="Date Closed"/>
    <tableColumn id="18" xr3:uid="{00000000-0010-0000-0000-000012000000}" name="Age (Day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leaseLogTable" displayName="ReleaseLogTable" ref="A1:G21">
  <tableColumns count="7">
    <tableColumn id="1" xr3:uid="{00000000-0010-0000-0100-000001000000}" name="Version"/>
    <tableColumn id="2" xr3:uid="{00000000-0010-0000-0100-000002000000}" name="Release Date"/>
    <tableColumn id="3" xr3:uid="{00000000-0010-0000-0100-000003000000}" name="Environment"/>
    <tableColumn id="4" xr3:uid="{00000000-0010-0000-0100-000004000000}" name="Summary"/>
    <tableColumn id="5" xr3:uid="{00000000-0010-0000-0100-000005000000}" name="Issues Included"/>
    <tableColumn id="6" xr3:uid="{00000000-0010-0000-0100-000006000000}" name="Production Verified"/>
    <tableColumn id="7" xr3:uid="{00000000-0010-0000-0100-000007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1"/>
  <sheetViews>
    <sheetView tabSelected="1" topLeftCell="J1" workbookViewId="0">
      <selection activeCell="N47" sqref="N47"/>
    </sheetView>
  </sheetViews>
  <sheetFormatPr defaultRowHeight="14"/>
  <cols>
    <col min="1" max="1" width="11" customWidth="1"/>
    <col min="2" max="2" width="13" customWidth="1"/>
    <col min="3" max="3" width="11" customWidth="1"/>
    <col min="4" max="4" width="18" customWidth="1"/>
    <col min="5" max="5" width="12" customWidth="1"/>
    <col min="6" max="6" width="28" customWidth="1"/>
    <col min="7" max="7" width="38" customWidth="1"/>
    <col min="8" max="8" width="32" customWidth="1"/>
    <col min="9" max="9" width="28.08203125" customWidth="1"/>
    <col min="10" max="10" width="33" bestFit="1" customWidth="1"/>
    <col min="11" max="11" width="18" customWidth="1"/>
    <col min="12" max="12" width="30" customWidth="1"/>
    <col min="13" max="13" width="34" customWidth="1"/>
    <col min="14" max="14" width="71.9140625" customWidth="1"/>
    <col min="15" max="15" width="30" customWidth="1"/>
    <col min="16" max="16" width="10" customWidth="1"/>
    <col min="17" max="17" width="13" customWidth="1"/>
    <col min="18" max="18" width="11" customWidth="1"/>
  </cols>
  <sheetData>
    <row r="1" spans="1:18" ht="22.6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42" hidden="1">
      <c r="A2" s="2" t="s">
        <v>18</v>
      </c>
      <c r="B2" s="3">
        <v>46216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95</v>
      </c>
      <c r="L2" s="2" t="s">
        <v>28</v>
      </c>
      <c r="M2" s="2" t="s">
        <v>29</v>
      </c>
      <c r="N2" s="2"/>
      <c r="O2" s="2"/>
      <c r="P2" s="2" t="s">
        <v>30</v>
      </c>
      <c r="Q2" s="3"/>
      <c r="R2" s="4">
        <f t="shared" ref="R2:R33" ca="1" si="0">IF(B2="","",IF(Q2&lt;&gt;"",Q2-B2,TODAY()-B2))</f>
        <v>7</v>
      </c>
    </row>
    <row r="3" spans="1:18" ht="28" hidden="1">
      <c r="A3" s="2" t="s">
        <v>31</v>
      </c>
      <c r="B3" s="3">
        <v>46216</v>
      </c>
      <c r="C3" s="2" t="s">
        <v>88</v>
      </c>
      <c r="D3" s="2" t="s">
        <v>20</v>
      </c>
      <c r="E3" s="2" t="s">
        <v>21</v>
      </c>
      <c r="F3" s="2" t="s">
        <v>135</v>
      </c>
      <c r="G3" s="2" t="s">
        <v>136</v>
      </c>
      <c r="H3" s="2" t="s">
        <v>151</v>
      </c>
      <c r="I3" s="2" t="s">
        <v>149</v>
      </c>
      <c r="J3" s="2"/>
      <c r="K3" s="2" t="s">
        <v>95</v>
      </c>
      <c r="L3" s="2" t="s">
        <v>137</v>
      </c>
      <c r="M3" s="2"/>
      <c r="N3" s="2"/>
      <c r="O3" s="2"/>
      <c r="P3" s="2" t="s">
        <v>30</v>
      </c>
      <c r="Q3" s="3"/>
      <c r="R3" s="4">
        <f t="shared" ca="1" si="0"/>
        <v>7</v>
      </c>
    </row>
    <row r="4" spans="1:18" ht="28" hidden="1">
      <c r="A4" s="2" t="s">
        <v>33</v>
      </c>
      <c r="B4" s="3">
        <v>46216</v>
      </c>
      <c r="C4" s="2" t="s">
        <v>90</v>
      </c>
      <c r="D4" s="2" t="s">
        <v>138</v>
      </c>
      <c r="E4" s="2" t="s">
        <v>21</v>
      </c>
      <c r="F4" s="2" t="s">
        <v>139</v>
      </c>
      <c r="G4" s="2" t="s">
        <v>140</v>
      </c>
      <c r="H4" s="2" t="s">
        <v>150</v>
      </c>
      <c r="I4" s="2" t="s">
        <v>149</v>
      </c>
      <c r="J4" s="2"/>
      <c r="K4" s="2" t="s">
        <v>95</v>
      </c>
      <c r="L4" s="2" t="s">
        <v>141</v>
      </c>
      <c r="M4" s="2"/>
      <c r="N4" s="2"/>
      <c r="O4" s="2"/>
      <c r="P4" s="2" t="s">
        <v>30</v>
      </c>
      <c r="Q4" s="3"/>
      <c r="R4" s="4">
        <f t="shared" ca="1" si="0"/>
        <v>7</v>
      </c>
    </row>
    <row r="5" spans="1:18" ht="28" hidden="1">
      <c r="A5" s="2" t="s">
        <v>34</v>
      </c>
      <c r="B5" s="3">
        <v>46216</v>
      </c>
      <c r="C5" s="2" t="s">
        <v>85</v>
      </c>
      <c r="D5" s="2" t="s">
        <v>143</v>
      </c>
      <c r="E5" s="2" t="s">
        <v>21</v>
      </c>
      <c r="F5" s="2" t="s">
        <v>144</v>
      </c>
      <c r="G5" s="2" t="s">
        <v>142</v>
      </c>
      <c r="H5" s="2" t="s">
        <v>147</v>
      </c>
      <c r="I5" s="2" t="s">
        <v>148</v>
      </c>
      <c r="J5" s="2" t="s">
        <v>180</v>
      </c>
      <c r="K5" s="2" t="s">
        <v>95</v>
      </c>
      <c r="L5" s="2" t="s">
        <v>145</v>
      </c>
      <c r="M5" s="2" t="s">
        <v>146</v>
      </c>
      <c r="N5" t="s">
        <v>181</v>
      </c>
      <c r="O5" s="2"/>
      <c r="P5" s="2" t="s">
        <v>30</v>
      </c>
      <c r="Q5" s="3"/>
      <c r="R5" s="4">
        <f t="shared" ca="1" si="0"/>
        <v>7</v>
      </c>
    </row>
    <row r="6" spans="1:18" ht="28" hidden="1">
      <c r="A6" s="2" t="s">
        <v>35</v>
      </c>
      <c r="B6" s="3">
        <v>46216</v>
      </c>
      <c r="C6" s="2" t="s">
        <v>85</v>
      </c>
      <c r="D6" s="2" t="s">
        <v>154</v>
      </c>
      <c r="E6" s="2" t="s">
        <v>21</v>
      </c>
      <c r="F6" s="2" t="s">
        <v>153</v>
      </c>
      <c r="G6" s="2" t="s">
        <v>152</v>
      </c>
      <c r="H6" s="2" t="s">
        <v>155</v>
      </c>
      <c r="I6" s="2" t="s">
        <v>148</v>
      </c>
      <c r="J6" s="2" t="s">
        <v>195</v>
      </c>
      <c r="K6" s="2" t="s">
        <v>95</v>
      </c>
      <c r="L6" s="2" t="s">
        <v>156</v>
      </c>
      <c r="M6" s="2" t="s">
        <v>146</v>
      </c>
      <c r="N6" s="2"/>
      <c r="O6" s="2"/>
      <c r="P6" s="2" t="s">
        <v>30</v>
      </c>
      <c r="Q6" s="3"/>
      <c r="R6" s="4">
        <f t="shared" ca="1" si="0"/>
        <v>7</v>
      </c>
    </row>
    <row r="7" spans="1:18" ht="28" hidden="1">
      <c r="A7" s="2" t="s">
        <v>36</v>
      </c>
      <c r="B7" s="3">
        <v>46216</v>
      </c>
      <c r="C7" s="2" t="s">
        <v>19</v>
      </c>
      <c r="D7" s="2" t="s">
        <v>158</v>
      </c>
      <c r="E7" s="2" t="s">
        <v>21</v>
      </c>
      <c r="F7" s="2" t="s">
        <v>159</v>
      </c>
      <c r="G7" s="2" t="s">
        <v>157</v>
      </c>
      <c r="H7" s="2" t="s">
        <v>160</v>
      </c>
      <c r="I7" s="2" t="s">
        <v>148</v>
      </c>
      <c r="J7" s="2"/>
      <c r="K7" s="2" t="s">
        <v>95</v>
      </c>
      <c r="L7" s="2" t="s">
        <v>161</v>
      </c>
      <c r="M7" s="2"/>
      <c r="N7" t="s">
        <v>199</v>
      </c>
      <c r="O7" s="2" t="s">
        <v>198</v>
      </c>
      <c r="P7" s="2" t="s">
        <v>186</v>
      </c>
      <c r="Q7" s="3">
        <v>46216</v>
      </c>
      <c r="R7" s="4">
        <f t="shared" ca="1" si="0"/>
        <v>0</v>
      </c>
    </row>
    <row r="8" spans="1:18" ht="28" hidden="1">
      <c r="A8" s="2" t="s">
        <v>37</v>
      </c>
      <c r="B8" s="3">
        <v>46216</v>
      </c>
      <c r="C8" s="2" t="s">
        <v>85</v>
      </c>
      <c r="D8" s="2" t="s">
        <v>158</v>
      </c>
      <c r="E8" s="2" t="s">
        <v>21</v>
      </c>
      <c r="F8" s="2" t="s">
        <v>167</v>
      </c>
      <c r="G8" s="2" t="s">
        <v>166</v>
      </c>
      <c r="H8" s="2" t="s">
        <v>168</v>
      </c>
      <c r="I8" s="2" t="s">
        <v>148</v>
      </c>
      <c r="J8" s="2"/>
      <c r="K8" s="2" t="s">
        <v>95</v>
      </c>
      <c r="L8" s="2" t="s">
        <v>162</v>
      </c>
      <c r="M8" s="2"/>
      <c r="N8" t="s">
        <v>196</v>
      </c>
      <c r="O8" s="2" t="s">
        <v>197</v>
      </c>
      <c r="P8" s="2" t="s">
        <v>186</v>
      </c>
      <c r="Q8" s="3"/>
      <c r="R8" s="4">
        <f t="shared" ca="1" si="0"/>
        <v>7</v>
      </c>
    </row>
    <row r="9" spans="1:18" ht="42" hidden="1">
      <c r="A9" s="2" t="s">
        <v>38</v>
      </c>
      <c r="B9" s="3">
        <v>46216</v>
      </c>
      <c r="C9" s="2" t="s">
        <v>85</v>
      </c>
      <c r="D9" s="2" t="s">
        <v>171</v>
      </c>
      <c r="E9" s="2" t="s">
        <v>21</v>
      </c>
      <c r="F9" s="2" t="s">
        <v>170</v>
      </c>
      <c r="G9" s="2" t="s">
        <v>169</v>
      </c>
      <c r="H9" s="2" t="s">
        <v>172</v>
      </c>
      <c r="I9" s="2" t="s">
        <v>148</v>
      </c>
      <c r="J9" s="2"/>
      <c r="K9" s="2" t="s">
        <v>95</v>
      </c>
      <c r="L9" s="2" t="s">
        <v>163</v>
      </c>
      <c r="M9" s="2"/>
      <c r="N9" t="s">
        <v>201</v>
      </c>
      <c r="O9" s="2" t="s">
        <v>200</v>
      </c>
      <c r="P9" s="2" t="s">
        <v>186</v>
      </c>
      <c r="Q9" s="3">
        <v>46216</v>
      </c>
      <c r="R9" s="4">
        <f t="shared" ca="1" si="0"/>
        <v>0</v>
      </c>
    </row>
    <row r="10" spans="1:18" ht="28" hidden="1">
      <c r="A10" s="2" t="s">
        <v>39</v>
      </c>
      <c r="B10" s="3">
        <v>46216</v>
      </c>
      <c r="C10" s="2" t="s">
        <v>85</v>
      </c>
      <c r="D10" s="2" t="s">
        <v>171</v>
      </c>
      <c r="E10" s="2" t="s">
        <v>21</v>
      </c>
      <c r="F10" s="2" t="s">
        <v>174</v>
      </c>
      <c r="G10" s="2" t="s">
        <v>173</v>
      </c>
      <c r="H10" s="2" t="s">
        <v>175</v>
      </c>
      <c r="I10" s="2" t="s">
        <v>148</v>
      </c>
      <c r="J10" s="2" t="s">
        <v>233</v>
      </c>
      <c r="K10" s="2" t="s">
        <v>95</v>
      </c>
      <c r="L10" s="2" t="s">
        <v>164</v>
      </c>
      <c r="M10" s="2"/>
      <c r="N10" t="s">
        <v>232</v>
      </c>
      <c r="O10" s="2" t="s">
        <v>234</v>
      </c>
      <c r="P10" s="2" t="s">
        <v>186</v>
      </c>
      <c r="Q10" s="3"/>
      <c r="R10" s="4">
        <f t="shared" ca="1" si="0"/>
        <v>7</v>
      </c>
    </row>
    <row r="11" spans="1:18" ht="28" hidden="1">
      <c r="A11" s="2" t="s">
        <v>40</v>
      </c>
      <c r="B11" s="3">
        <v>46216</v>
      </c>
      <c r="C11" s="2" t="s">
        <v>85</v>
      </c>
      <c r="D11" s="2" t="s">
        <v>178</v>
      </c>
      <c r="E11" s="2" t="s">
        <v>21</v>
      </c>
      <c r="F11" s="2" t="s">
        <v>177</v>
      </c>
      <c r="G11" s="2" t="s">
        <v>176</v>
      </c>
      <c r="H11" s="2" t="s">
        <v>179</v>
      </c>
      <c r="I11" s="2" t="s">
        <v>148</v>
      </c>
      <c r="J11" s="2"/>
      <c r="K11" s="2" t="s">
        <v>95</v>
      </c>
      <c r="L11" s="2" t="s">
        <v>165</v>
      </c>
      <c r="M11" s="2"/>
      <c r="N11" t="s">
        <v>248</v>
      </c>
      <c r="O11" s="2" t="s">
        <v>249</v>
      </c>
      <c r="P11" s="2" t="s">
        <v>186</v>
      </c>
      <c r="Q11" s="3">
        <v>46217</v>
      </c>
      <c r="R11" s="4">
        <f t="shared" ca="1" si="0"/>
        <v>1</v>
      </c>
    </row>
    <row r="12" spans="1:18" hidden="1">
      <c r="A12" s="2" t="s">
        <v>41</v>
      </c>
      <c r="B12" s="3">
        <v>46216</v>
      </c>
      <c r="C12" s="2" t="s">
        <v>85</v>
      </c>
      <c r="D12" s="2" t="s">
        <v>20</v>
      </c>
      <c r="E12" s="2" t="s">
        <v>21</v>
      </c>
      <c r="F12" s="2" t="s">
        <v>182</v>
      </c>
      <c r="G12" s="2" t="s">
        <v>183</v>
      </c>
      <c r="H12" s="2"/>
      <c r="I12" s="2" t="s">
        <v>148</v>
      </c>
      <c r="J12" s="2"/>
      <c r="K12" s="2" t="s">
        <v>95</v>
      </c>
      <c r="L12" s="2" t="s">
        <v>184</v>
      </c>
      <c r="M12" s="2"/>
      <c r="N12" t="s">
        <v>185</v>
      </c>
      <c r="O12" s="2"/>
      <c r="P12" s="2" t="s">
        <v>186</v>
      </c>
      <c r="Q12" s="3">
        <v>46216</v>
      </c>
      <c r="R12" s="4">
        <f t="shared" ca="1" si="0"/>
        <v>0</v>
      </c>
    </row>
    <row r="13" spans="1:18" ht="28" hidden="1">
      <c r="A13" s="2" t="s">
        <v>42</v>
      </c>
      <c r="B13" s="3">
        <v>46216</v>
      </c>
      <c r="C13" s="2" t="s">
        <v>85</v>
      </c>
      <c r="D13" s="2" t="s">
        <v>143</v>
      </c>
      <c r="E13" s="2" t="s">
        <v>21</v>
      </c>
      <c r="F13" s="2" t="s">
        <v>182</v>
      </c>
      <c r="G13" s="2" t="s">
        <v>187</v>
      </c>
      <c r="H13" s="2" t="s">
        <v>190</v>
      </c>
      <c r="I13" s="2" t="s">
        <v>148</v>
      </c>
      <c r="J13" s="2" t="s">
        <v>189</v>
      </c>
      <c r="K13" s="2" t="s">
        <v>95</v>
      </c>
      <c r="L13" s="2" t="s">
        <v>188</v>
      </c>
      <c r="M13" s="2"/>
      <c r="N13" s="2"/>
      <c r="O13" s="2"/>
      <c r="P13" s="2" t="s">
        <v>186</v>
      </c>
      <c r="Q13" s="3">
        <v>46216</v>
      </c>
      <c r="R13" s="4">
        <f t="shared" ca="1" si="0"/>
        <v>0</v>
      </c>
    </row>
    <row r="14" spans="1:18" ht="28" hidden="1">
      <c r="A14" s="2" t="s">
        <v>43</v>
      </c>
      <c r="B14" s="3">
        <v>46216</v>
      </c>
      <c r="C14" s="2" t="s">
        <v>19</v>
      </c>
      <c r="D14" s="2" t="s">
        <v>143</v>
      </c>
      <c r="E14" s="2" t="s">
        <v>21</v>
      </c>
      <c r="F14" s="2" t="s">
        <v>192</v>
      </c>
      <c r="G14" s="2" t="s">
        <v>191</v>
      </c>
      <c r="H14" s="2" t="s">
        <v>193</v>
      </c>
      <c r="I14" s="2" t="s">
        <v>194</v>
      </c>
      <c r="J14" s="2"/>
      <c r="K14" s="2" t="s">
        <v>95</v>
      </c>
      <c r="L14" s="2" t="s">
        <v>230</v>
      </c>
      <c r="M14" s="2"/>
      <c r="N14" s="2"/>
      <c r="O14" s="2" t="s">
        <v>250</v>
      </c>
      <c r="P14" s="2" t="s">
        <v>186</v>
      </c>
      <c r="Q14" s="3">
        <v>46217</v>
      </c>
      <c r="R14" s="4">
        <f t="shared" ca="1" si="0"/>
        <v>1</v>
      </c>
    </row>
    <row r="15" spans="1:18" hidden="1">
      <c r="A15" s="2" t="s">
        <v>44</v>
      </c>
      <c r="B15" s="3">
        <v>46216</v>
      </c>
      <c r="C15" s="2" t="s">
        <v>85</v>
      </c>
      <c r="D15" s="2" t="s">
        <v>203</v>
      </c>
      <c r="E15" s="2" t="s">
        <v>21</v>
      </c>
      <c r="F15" s="2" t="s">
        <v>202</v>
      </c>
      <c r="G15" s="2" t="s">
        <v>204</v>
      </c>
      <c r="H15" s="2"/>
      <c r="I15" s="2" t="s">
        <v>149</v>
      </c>
      <c r="J15" s="2" t="s">
        <v>244</v>
      </c>
      <c r="K15" s="2" t="s">
        <v>95</v>
      </c>
      <c r="L15" s="2" t="s">
        <v>205</v>
      </c>
      <c r="M15" s="2"/>
      <c r="N15" t="s">
        <v>243</v>
      </c>
      <c r="O15" t="s">
        <v>245</v>
      </c>
      <c r="P15" s="2" t="s">
        <v>186</v>
      </c>
      <c r="Q15" s="3">
        <v>46217</v>
      </c>
      <c r="R15" s="4">
        <f t="shared" ca="1" si="0"/>
        <v>1</v>
      </c>
    </row>
    <row r="16" spans="1:18" ht="28" hidden="1">
      <c r="A16" s="2" t="s">
        <v>45</v>
      </c>
      <c r="B16" s="3">
        <v>46216</v>
      </c>
      <c r="C16" s="2" t="s">
        <v>85</v>
      </c>
      <c r="D16" s="2" t="s">
        <v>208</v>
      </c>
      <c r="E16" s="2" t="s">
        <v>21</v>
      </c>
      <c r="F16" s="2" t="s">
        <v>207</v>
      </c>
      <c r="G16" s="2" t="s">
        <v>206</v>
      </c>
      <c r="H16" s="2"/>
      <c r="I16" s="2"/>
      <c r="J16" s="2"/>
      <c r="K16" s="2" t="s">
        <v>95</v>
      </c>
      <c r="L16" s="2" t="s">
        <v>209</v>
      </c>
      <c r="M16" s="2"/>
      <c r="N16" t="s">
        <v>240</v>
      </c>
      <c r="O16" s="2" t="s">
        <v>241</v>
      </c>
      <c r="P16" s="2" t="s">
        <v>186</v>
      </c>
      <c r="Q16" s="3">
        <v>46217</v>
      </c>
      <c r="R16" s="4">
        <f t="shared" ca="1" si="0"/>
        <v>1</v>
      </c>
    </row>
    <row r="17" spans="1:18" ht="28" hidden="1">
      <c r="A17" s="2" t="s">
        <v>46</v>
      </c>
      <c r="B17" s="3">
        <v>46216</v>
      </c>
      <c r="C17" s="2" t="s">
        <v>85</v>
      </c>
      <c r="D17" s="2" t="s">
        <v>211</v>
      </c>
      <c r="E17" s="2" t="s">
        <v>21</v>
      </c>
      <c r="F17" s="2" t="s">
        <v>210</v>
      </c>
      <c r="G17" s="2" t="s">
        <v>206</v>
      </c>
      <c r="H17" s="2"/>
      <c r="I17" s="2"/>
      <c r="J17" s="2"/>
      <c r="K17" s="2" t="s">
        <v>95</v>
      </c>
      <c r="L17" s="2" t="s">
        <v>212</v>
      </c>
      <c r="M17" s="2"/>
      <c r="N17" s="2"/>
      <c r="O17" s="2"/>
      <c r="P17" s="2" t="s">
        <v>186</v>
      </c>
      <c r="Q17" s="3"/>
      <c r="R17" s="4">
        <f t="shared" ca="1" si="0"/>
        <v>7</v>
      </c>
    </row>
    <row r="18" spans="1:18" ht="28" hidden="1">
      <c r="A18" s="2" t="s">
        <v>47</v>
      </c>
      <c r="B18" s="3">
        <v>46216</v>
      </c>
      <c r="C18" s="2" t="s">
        <v>85</v>
      </c>
      <c r="D18" s="2" t="s">
        <v>211</v>
      </c>
      <c r="E18" s="2" t="s">
        <v>21</v>
      </c>
      <c r="F18" s="2" t="s">
        <v>214</v>
      </c>
      <c r="G18" s="2" t="s">
        <v>213</v>
      </c>
      <c r="H18" s="2"/>
      <c r="I18" s="2" t="s">
        <v>149</v>
      </c>
      <c r="J18" s="2"/>
      <c r="K18" s="2" t="s">
        <v>95</v>
      </c>
      <c r="L18" s="2" t="s">
        <v>220</v>
      </c>
      <c r="M18" s="2"/>
      <c r="N18" s="2"/>
      <c r="O18" s="2"/>
      <c r="P18" s="2" t="s">
        <v>30</v>
      </c>
      <c r="Q18" s="3"/>
      <c r="R18" s="4">
        <f t="shared" ca="1" si="0"/>
        <v>7</v>
      </c>
    </row>
    <row r="19" spans="1:18" ht="42" hidden="1">
      <c r="A19" s="2" t="s">
        <v>48</v>
      </c>
      <c r="B19" s="3">
        <v>46217</v>
      </c>
      <c r="C19" s="2" t="s">
        <v>90</v>
      </c>
      <c r="D19" s="2" t="s">
        <v>143</v>
      </c>
      <c r="E19" s="2" t="s">
        <v>216</v>
      </c>
      <c r="F19" s="2" t="s">
        <v>217</v>
      </c>
      <c r="G19" s="2" t="s">
        <v>215</v>
      </c>
      <c r="H19" s="2" t="s">
        <v>218</v>
      </c>
      <c r="I19" s="2" t="s">
        <v>219</v>
      </c>
      <c r="J19" s="2"/>
      <c r="K19" s="2" t="s">
        <v>95</v>
      </c>
      <c r="L19" s="2" t="s">
        <v>225</v>
      </c>
      <c r="M19" s="2"/>
      <c r="N19" s="2"/>
      <c r="O19" s="2"/>
      <c r="P19" s="2" t="s">
        <v>30</v>
      </c>
      <c r="Q19" s="3"/>
      <c r="R19" s="4">
        <f t="shared" ca="1" si="0"/>
        <v>6</v>
      </c>
    </row>
    <row r="20" spans="1:18" ht="28" hidden="1">
      <c r="A20" s="2" t="s">
        <v>49</v>
      </c>
      <c r="B20" s="3">
        <v>46217</v>
      </c>
      <c r="C20" s="2" t="s">
        <v>90</v>
      </c>
      <c r="D20" s="2" t="s">
        <v>223</v>
      </c>
      <c r="E20" s="2" t="s">
        <v>222</v>
      </c>
      <c r="F20" s="2" t="s">
        <v>221</v>
      </c>
      <c r="G20" s="2" t="s">
        <v>224</v>
      </c>
      <c r="H20" s="2"/>
      <c r="I20" s="2"/>
      <c r="J20" s="2"/>
      <c r="K20" s="2" t="s">
        <v>95</v>
      </c>
      <c r="L20" s="2" t="s">
        <v>226</v>
      </c>
      <c r="M20" s="2"/>
      <c r="N20" s="2"/>
      <c r="O20" s="2"/>
      <c r="P20" s="2" t="s">
        <v>30</v>
      </c>
      <c r="Q20" s="3"/>
      <c r="R20" s="4">
        <f t="shared" ca="1" si="0"/>
        <v>6</v>
      </c>
    </row>
    <row r="21" spans="1:18" ht="28" hidden="1">
      <c r="A21" s="2" t="s">
        <v>50</v>
      </c>
      <c r="B21" s="3">
        <v>46217</v>
      </c>
      <c r="C21" s="2" t="s">
        <v>19</v>
      </c>
      <c r="D21" s="2" t="s">
        <v>171</v>
      </c>
      <c r="E21" s="2" t="s">
        <v>21</v>
      </c>
      <c r="F21" s="2" t="s">
        <v>236</v>
      </c>
      <c r="G21" s="2" t="s">
        <v>235</v>
      </c>
      <c r="H21" s="2"/>
      <c r="I21" s="2"/>
      <c r="J21" s="2" t="s">
        <v>239</v>
      </c>
      <c r="K21" s="2" t="s">
        <v>95</v>
      </c>
      <c r="L21" s="2" t="s">
        <v>227</v>
      </c>
      <c r="M21" s="2"/>
      <c r="N21" t="s">
        <v>237</v>
      </c>
      <c r="O21" s="2" t="s">
        <v>238</v>
      </c>
      <c r="P21" s="2" t="s">
        <v>186</v>
      </c>
      <c r="Q21" s="3">
        <v>46217</v>
      </c>
      <c r="R21" s="4">
        <f t="shared" ca="1" si="0"/>
        <v>0</v>
      </c>
    </row>
    <row r="22" spans="1:18" ht="28" hidden="1">
      <c r="A22" s="2" t="s">
        <v>51</v>
      </c>
      <c r="B22" s="3">
        <v>46217</v>
      </c>
      <c r="C22" s="2" t="s">
        <v>19</v>
      </c>
      <c r="D22" s="2" t="s">
        <v>208</v>
      </c>
      <c r="E22" s="2" t="s">
        <v>21</v>
      </c>
      <c r="F22" s="2" t="s">
        <v>242</v>
      </c>
      <c r="G22" s="2" t="s">
        <v>235</v>
      </c>
      <c r="H22" s="2"/>
      <c r="I22" s="2"/>
      <c r="J22" s="2"/>
      <c r="K22" s="2" t="s">
        <v>95</v>
      </c>
      <c r="L22" s="2" t="s">
        <v>228</v>
      </c>
      <c r="M22" s="2"/>
      <c r="N22" s="2"/>
      <c r="O22" s="2"/>
      <c r="P22" s="2" t="s">
        <v>186</v>
      </c>
      <c r="Q22" s="3">
        <v>46218</v>
      </c>
      <c r="R22" s="4">
        <f t="shared" ca="1" si="0"/>
        <v>1</v>
      </c>
    </row>
    <row r="23" spans="1:18" ht="28" hidden="1">
      <c r="A23" s="2" t="s">
        <v>52</v>
      </c>
      <c r="B23" s="3">
        <v>46217</v>
      </c>
      <c r="C23" s="2" t="s">
        <v>85</v>
      </c>
      <c r="D23" s="2" t="s">
        <v>203</v>
      </c>
      <c r="E23" s="2" t="s">
        <v>21</v>
      </c>
      <c r="F23" s="2" t="s">
        <v>247</v>
      </c>
      <c r="G23" s="2" t="s">
        <v>246</v>
      </c>
      <c r="H23" s="2"/>
      <c r="I23" s="2"/>
      <c r="J23" s="2"/>
      <c r="K23" s="2" t="s">
        <v>95</v>
      </c>
      <c r="L23" s="2" t="s">
        <v>229</v>
      </c>
      <c r="M23" s="2"/>
      <c r="N23" s="2"/>
      <c r="O23" s="2"/>
      <c r="P23" s="2" t="s">
        <v>186</v>
      </c>
      <c r="Q23" s="3">
        <v>46218</v>
      </c>
      <c r="R23" s="4">
        <f t="shared" ca="1" si="0"/>
        <v>1</v>
      </c>
    </row>
    <row r="24" spans="1:18" hidden="1">
      <c r="A24" s="2" t="s">
        <v>53</v>
      </c>
      <c r="B24" s="3">
        <v>46217</v>
      </c>
      <c r="C24" s="2" t="s">
        <v>19</v>
      </c>
      <c r="D24" s="2" t="s">
        <v>154</v>
      </c>
      <c r="E24" s="2" t="s">
        <v>222</v>
      </c>
      <c r="F24" s="2" t="s">
        <v>251</v>
      </c>
      <c r="G24" s="2"/>
      <c r="H24" s="2"/>
      <c r="I24" s="2"/>
      <c r="J24" s="2"/>
      <c r="K24" s="2" t="s">
        <v>95</v>
      </c>
      <c r="L24" s="2" t="s">
        <v>231</v>
      </c>
      <c r="M24" s="2"/>
      <c r="N24" s="2"/>
      <c r="O24" s="2"/>
      <c r="P24" s="2" t="s">
        <v>30</v>
      </c>
      <c r="Q24" s="3"/>
      <c r="R24" s="4">
        <f t="shared" ca="1" si="0"/>
        <v>6</v>
      </c>
    </row>
    <row r="25" spans="1:18" ht="28" hidden="1">
      <c r="A25" s="2" t="s">
        <v>54</v>
      </c>
      <c r="B25" s="3">
        <v>46218</v>
      </c>
      <c r="C25" s="2" t="s">
        <v>90</v>
      </c>
      <c r="D25" s="2" t="s">
        <v>143</v>
      </c>
      <c r="E25" s="2" t="s">
        <v>21</v>
      </c>
      <c r="F25" s="2" t="s">
        <v>253</v>
      </c>
      <c r="G25" s="2" t="s">
        <v>252</v>
      </c>
      <c r="H25" s="2"/>
      <c r="I25" s="2"/>
      <c r="J25" s="2"/>
      <c r="K25" s="2" t="s">
        <v>95</v>
      </c>
      <c r="L25" s="2" t="s">
        <v>254</v>
      </c>
      <c r="M25" s="2"/>
      <c r="N25" s="2"/>
      <c r="O25" s="2"/>
      <c r="P25" s="2" t="s">
        <v>30</v>
      </c>
      <c r="Q25" s="3"/>
      <c r="R25" s="4">
        <f t="shared" ca="1" si="0"/>
        <v>5</v>
      </c>
    </row>
    <row r="26" spans="1:18" hidden="1">
      <c r="A26" s="2" t="s">
        <v>55</v>
      </c>
      <c r="B26" s="3">
        <v>46218</v>
      </c>
      <c r="C26" s="2" t="s">
        <v>19</v>
      </c>
      <c r="D26" s="2" t="s">
        <v>158</v>
      </c>
      <c r="E26" s="2" t="s">
        <v>222</v>
      </c>
      <c r="F26" s="2" t="s">
        <v>251</v>
      </c>
      <c r="G26" s="2"/>
      <c r="H26" s="2"/>
      <c r="I26" s="2"/>
      <c r="J26" s="2"/>
      <c r="K26" s="2" t="s">
        <v>95</v>
      </c>
      <c r="L26" s="2" t="s">
        <v>255</v>
      </c>
      <c r="M26" s="2"/>
      <c r="N26" s="2"/>
      <c r="O26" s="2"/>
      <c r="P26" s="2" t="s">
        <v>186</v>
      </c>
      <c r="Q26" s="3"/>
      <c r="R26" s="4">
        <f t="shared" ca="1" si="0"/>
        <v>5</v>
      </c>
    </row>
    <row r="27" spans="1:18" ht="28" hidden="1">
      <c r="A27" s="2" t="s">
        <v>56</v>
      </c>
      <c r="B27" s="3">
        <v>46218</v>
      </c>
      <c r="C27" s="2" t="s">
        <v>19</v>
      </c>
      <c r="D27" s="2" t="s">
        <v>208</v>
      </c>
      <c r="E27" s="2" t="s">
        <v>21</v>
      </c>
      <c r="F27" s="2" t="s">
        <v>257</v>
      </c>
      <c r="G27" s="2" t="s">
        <v>256</v>
      </c>
      <c r="H27" s="2"/>
      <c r="I27" s="2"/>
      <c r="J27" s="2"/>
      <c r="K27" s="2" t="s">
        <v>95</v>
      </c>
      <c r="L27" s="2" t="s">
        <v>255</v>
      </c>
      <c r="M27" s="2"/>
      <c r="N27" s="2"/>
      <c r="O27" s="2"/>
      <c r="P27" s="2" t="s">
        <v>186</v>
      </c>
      <c r="Q27" s="3">
        <v>46218</v>
      </c>
      <c r="R27" s="4">
        <f t="shared" ca="1" si="0"/>
        <v>0</v>
      </c>
    </row>
    <row r="28" spans="1:18" ht="28" hidden="1">
      <c r="A28" s="2" t="s">
        <v>57</v>
      </c>
      <c r="B28" s="3">
        <v>46218</v>
      </c>
      <c r="C28" s="2" t="s">
        <v>19</v>
      </c>
      <c r="D28" s="2" t="s">
        <v>171</v>
      </c>
      <c r="E28" s="2" t="s">
        <v>21</v>
      </c>
      <c r="F28" s="2" t="s">
        <v>257</v>
      </c>
      <c r="G28" s="2" t="s">
        <v>256</v>
      </c>
      <c r="H28" s="2"/>
      <c r="I28" s="2"/>
      <c r="J28" s="2"/>
      <c r="K28" s="2" t="s">
        <v>95</v>
      </c>
      <c r="L28" s="2" t="s">
        <v>258</v>
      </c>
      <c r="M28" s="2"/>
      <c r="N28" s="2"/>
      <c r="O28" s="2"/>
      <c r="P28" s="2" t="s">
        <v>186</v>
      </c>
      <c r="Q28" s="3">
        <v>46218</v>
      </c>
      <c r="R28" s="4">
        <f t="shared" ca="1" si="0"/>
        <v>0</v>
      </c>
    </row>
    <row r="29" spans="1:18" ht="28" hidden="1">
      <c r="A29" s="2" t="s">
        <v>58</v>
      </c>
      <c r="B29" s="3">
        <v>46218</v>
      </c>
      <c r="C29" s="2" t="s">
        <v>85</v>
      </c>
      <c r="D29" s="2" t="s">
        <v>203</v>
      </c>
      <c r="E29" s="2" t="s">
        <v>21</v>
      </c>
      <c r="F29" s="2" t="s">
        <v>263</v>
      </c>
      <c r="G29" s="2" t="s">
        <v>262</v>
      </c>
      <c r="H29" s="2"/>
      <c r="I29" s="2"/>
      <c r="J29" s="2"/>
      <c r="K29" s="2" t="s">
        <v>95</v>
      </c>
      <c r="L29" s="2" t="s">
        <v>259</v>
      </c>
      <c r="M29" s="2"/>
      <c r="N29" s="2"/>
      <c r="O29" s="2" t="s">
        <v>264</v>
      </c>
      <c r="P29" s="2" t="s">
        <v>186</v>
      </c>
      <c r="Q29" s="3">
        <v>46218</v>
      </c>
      <c r="R29" s="4">
        <f t="shared" ca="1" si="0"/>
        <v>0</v>
      </c>
    </row>
    <row r="30" spans="1:18" ht="28" hidden="1">
      <c r="A30" s="2" t="s">
        <v>59</v>
      </c>
      <c r="B30" s="3">
        <v>46218</v>
      </c>
      <c r="C30" s="2" t="s">
        <v>85</v>
      </c>
      <c r="D30" s="2" t="s">
        <v>203</v>
      </c>
      <c r="E30" s="2" t="s">
        <v>21</v>
      </c>
      <c r="F30" s="2" t="s">
        <v>266</v>
      </c>
      <c r="G30" s="2" t="s">
        <v>265</v>
      </c>
      <c r="H30" s="2"/>
      <c r="I30" s="2"/>
      <c r="J30" s="2"/>
      <c r="K30" s="2" t="s">
        <v>95</v>
      </c>
      <c r="L30" s="2" t="s">
        <v>260</v>
      </c>
      <c r="M30" s="2"/>
      <c r="N30" s="2"/>
      <c r="O30" s="2"/>
      <c r="P30" s="2" t="s">
        <v>186</v>
      </c>
      <c r="Q30" s="3">
        <v>46218</v>
      </c>
      <c r="R30" s="4">
        <f t="shared" ca="1" si="0"/>
        <v>0</v>
      </c>
    </row>
    <row r="31" spans="1:18" ht="28" hidden="1">
      <c r="A31" s="2" t="s">
        <v>60</v>
      </c>
      <c r="B31" s="3">
        <v>46218</v>
      </c>
      <c r="C31" s="2" t="s">
        <v>85</v>
      </c>
      <c r="D31" s="2" t="s">
        <v>203</v>
      </c>
      <c r="E31" s="2" t="s">
        <v>21</v>
      </c>
      <c r="F31" s="2" t="s">
        <v>268</v>
      </c>
      <c r="G31" s="2" t="s">
        <v>267</v>
      </c>
      <c r="H31" s="2"/>
      <c r="I31" s="2"/>
      <c r="J31" s="2" t="s">
        <v>270</v>
      </c>
      <c r="K31" s="2" t="s">
        <v>95</v>
      </c>
      <c r="L31" s="2" t="s">
        <v>261</v>
      </c>
      <c r="M31" s="2"/>
      <c r="N31" t="s">
        <v>269</v>
      </c>
      <c r="O31" s="2" t="s">
        <v>271</v>
      </c>
      <c r="P31" s="2" t="s">
        <v>186</v>
      </c>
      <c r="Q31" s="3">
        <v>46218</v>
      </c>
      <c r="R31" s="4">
        <f t="shared" ca="1" si="0"/>
        <v>0</v>
      </c>
    </row>
    <row r="32" spans="1:18" hidden="1">
      <c r="A32" s="2" t="s">
        <v>61</v>
      </c>
      <c r="B32" s="3">
        <v>46221</v>
      </c>
      <c r="C32" s="2" t="s">
        <v>19</v>
      </c>
      <c r="D32" s="2" t="s">
        <v>272</v>
      </c>
      <c r="E32" s="2" t="s">
        <v>222</v>
      </c>
      <c r="F32" s="2" t="s">
        <v>273</v>
      </c>
      <c r="G32" s="2" t="s">
        <v>274</v>
      </c>
      <c r="H32" s="2"/>
      <c r="I32" s="2"/>
      <c r="J32" s="2"/>
      <c r="K32" s="2" t="s">
        <v>95</v>
      </c>
      <c r="L32" s="2" t="s">
        <v>275</v>
      </c>
      <c r="M32" s="2"/>
      <c r="N32" s="2"/>
      <c r="O32" s="2" t="s">
        <v>299</v>
      </c>
      <c r="P32" s="2" t="s">
        <v>186</v>
      </c>
      <c r="Q32" s="3">
        <v>46221</v>
      </c>
      <c r="R32" s="4">
        <f t="shared" ca="1" si="0"/>
        <v>0</v>
      </c>
    </row>
    <row r="33" spans="1:18" ht="28" hidden="1">
      <c r="A33" s="2" t="s">
        <v>62</v>
      </c>
      <c r="B33" s="3">
        <v>46221</v>
      </c>
      <c r="C33" s="2" t="s">
        <v>85</v>
      </c>
      <c r="D33" s="2" t="s">
        <v>20</v>
      </c>
      <c r="E33" s="2" t="s">
        <v>21</v>
      </c>
      <c r="F33" s="2" t="s">
        <v>276</v>
      </c>
      <c r="G33" s="2" t="s">
        <v>277</v>
      </c>
      <c r="H33" s="2"/>
      <c r="I33" s="2"/>
      <c r="J33" s="2"/>
      <c r="K33" s="2" t="s">
        <v>95</v>
      </c>
      <c r="L33" s="2"/>
      <c r="M33" s="2"/>
      <c r="N33" t="s">
        <v>278</v>
      </c>
      <c r="O33" t="s">
        <v>279</v>
      </c>
      <c r="P33" s="2" t="s">
        <v>186</v>
      </c>
      <c r="Q33" s="3">
        <v>46221</v>
      </c>
      <c r="R33" s="4">
        <f t="shared" ca="1" si="0"/>
        <v>0</v>
      </c>
    </row>
    <row r="34" spans="1:18" ht="28" hidden="1">
      <c r="A34" s="2" t="s">
        <v>63</v>
      </c>
      <c r="B34" s="3">
        <v>46221</v>
      </c>
      <c r="C34" s="2" t="s">
        <v>85</v>
      </c>
      <c r="D34" s="2" t="s">
        <v>223</v>
      </c>
      <c r="E34" s="2" t="s">
        <v>222</v>
      </c>
      <c r="F34" s="2" t="s">
        <v>281</v>
      </c>
      <c r="G34" s="2" t="s">
        <v>280</v>
      </c>
      <c r="H34" s="2"/>
      <c r="I34" s="2"/>
      <c r="J34" s="2"/>
      <c r="K34" s="2" t="s">
        <v>95</v>
      </c>
      <c r="L34" s="2"/>
      <c r="M34" s="2"/>
      <c r="N34" s="2"/>
      <c r="O34" s="2" t="s">
        <v>309</v>
      </c>
      <c r="P34" s="2" t="s">
        <v>186</v>
      </c>
      <c r="Q34" s="3">
        <v>46223</v>
      </c>
      <c r="R34" s="4">
        <f t="shared" ref="R34:R51" ca="1" si="1">IF(B34="","",IF(Q34&lt;&gt;"",Q34-B34,TODAY()-B34))</f>
        <v>2</v>
      </c>
    </row>
    <row r="35" spans="1:18" ht="56" hidden="1">
      <c r="A35" s="2" t="s">
        <v>64</v>
      </c>
      <c r="B35" s="3">
        <v>46221</v>
      </c>
      <c r="C35" s="2" t="s">
        <v>19</v>
      </c>
      <c r="D35" s="2" t="s">
        <v>223</v>
      </c>
      <c r="E35" s="2" t="s">
        <v>222</v>
      </c>
      <c r="F35" s="2" t="s">
        <v>283</v>
      </c>
      <c r="G35" s="2" t="s">
        <v>282</v>
      </c>
      <c r="H35" s="2"/>
      <c r="I35" s="2"/>
      <c r="J35" s="2"/>
      <c r="K35" s="2" t="s">
        <v>95</v>
      </c>
      <c r="L35" s="2" t="s">
        <v>284</v>
      </c>
      <c r="M35" s="2"/>
      <c r="N35" s="2"/>
      <c r="O35" s="2" t="s">
        <v>318</v>
      </c>
      <c r="P35" s="2" t="s">
        <v>186</v>
      </c>
      <c r="Q35" s="3"/>
      <c r="R35" s="4">
        <f t="shared" ca="1" si="1"/>
        <v>2</v>
      </c>
    </row>
    <row r="36" spans="1:18" ht="28" hidden="1">
      <c r="A36" s="2" t="s">
        <v>65</v>
      </c>
      <c r="B36" s="3">
        <v>46221</v>
      </c>
      <c r="C36" s="2" t="s">
        <v>19</v>
      </c>
      <c r="D36" s="2" t="s">
        <v>154</v>
      </c>
      <c r="E36" s="2" t="s">
        <v>222</v>
      </c>
      <c r="F36" s="2" t="s">
        <v>286</v>
      </c>
      <c r="G36" s="2" t="s">
        <v>285</v>
      </c>
      <c r="H36" s="2"/>
      <c r="I36" s="2"/>
      <c r="J36" s="2"/>
      <c r="K36" s="2" t="s">
        <v>95</v>
      </c>
      <c r="L36" s="2" t="s">
        <v>287</v>
      </c>
      <c r="M36" s="2"/>
      <c r="N36" s="2"/>
      <c r="O36" s="2" t="s">
        <v>313</v>
      </c>
      <c r="P36" s="2" t="s">
        <v>186</v>
      </c>
      <c r="Q36" s="3">
        <v>46223</v>
      </c>
      <c r="R36" s="4">
        <f t="shared" ca="1" si="1"/>
        <v>2</v>
      </c>
    </row>
    <row r="37" spans="1:18" ht="28" hidden="1">
      <c r="A37" s="2" t="s">
        <v>66</v>
      </c>
      <c r="B37" s="3">
        <v>46221</v>
      </c>
      <c r="C37" s="2" t="s">
        <v>19</v>
      </c>
      <c r="D37" s="2" t="s">
        <v>223</v>
      </c>
      <c r="E37" s="2" t="s">
        <v>222</v>
      </c>
      <c r="F37" s="2" t="s">
        <v>286</v>
      </c>
      <c r="G37" s="2" t="s">
        <v>288</v>
      </c>
      <c r="H37" s="2"/>
      <c r="I37" s="2"/>
      <c r="J37" s="2"/>
      <c r="K37" s="2" t="s">
        <v>95</v>
      </c>
      <c r="L37" s="2" t="s">
        <v>289</v>
      </c>
      <c r="M37" s="2"/>
      <c r="N37" s="2"/>
      <c r="O37" s="2" t="s">
        <v>314</v>
      </c>
      <c r="P37" s="2" t="s">
        <v>186</v>
      </c>
      <c r="Q37" s="3">
        <v>46223</v>
      </c>
      <c r="R37" s="4">
        <f t="shared" ca="1" si="1"/>
        <v>2</v>
      </c>
    </row>
    <row r="38" spans="1:18" ht="84" hidden="1">
      <c r="A38" s="2" t="s">
        <v>67</v>
      </c>
      <c r="B38" s="3">
        <v>46221</v>
      </c>
      <c r="C38" s="2" t="s">
        <v>85</v>
      </c>
      <c r="D38" s="2" t="s">
        <v>223</v>
      </c>
      <c r="E38" s="2" t="s">
        <v>222</v>
      </c>
      <c r="F38" s="2" t="s">
        <v>290</v>
      </c>
      <c r="G38" s="2" t="s">
        <v>291</v>
      </c>
      <c r="H38" s="2"/>
      <c r="I38" s="2"/>
      <c r="J38" s="2"/>
      <c r="K38" s="2" t="s">
        <v>95</v>
      </c>
      <c r="L38" s="2" t="s">
        <v>295</v>
      </c>
      <c r="M38" s="2"/>
      <c r="N38" s="2"/>
      <c r="O38" s="13" t="s">
        <v>317</v>
      </c>
      <c r="P38" s="2" t="s">
        <v>186</v>
      </c>
      <c r="Q38" s="3"/>
      <c r="R38" s="4">
        <f t="shared" ca="1" si="1"/>
        <v>2</v>
      </c>
    </row>
    <row r="39" spans="1:18" hidden="1">
      <c r="A39" s="2" t="s">
        <v>68</v>
      </c>
      <c r="B39" s="3">
        <v>46221</v>
      </c>
      <c r="C39" s="2" t="s">
        <v>19</v>
      </c>
      <c r="D39" s="2" t="s">
        <v>223</v>
      </c>
      <c r="E39" s="2" t="s">
        <v>222</v>
      </c>
      <c r="F39" s="2" t="s">
        <v>293</v>
      </c>
      <c r="G39" t="s">
        <v>292</v>
      </c>
      <c r="H39" s="2"/>
      <c r="I39" s="2"/>
      <c r="J39" s="2"/>
      <c r="K39" s="2" t="s">
        <v>95</v>
      </c>
      <c r="L39" s="2" t="s">
        <v>294</v>
      </c>
      <c r="M39" s="2"/>
      <c r="N39" s="2"/>
      <c r="O39" s="2" t="s">
        <v>315</v>
      </c>
      <c r="P39" s="2" t="s">
        <v>186</v>
      </c>
      <c r="Q39" s="3">
        <v>46223</v>
      </c>
      <c r="R39" s="4">
        <f t="shared" ca="1" si="1"/>
        <v>2</v>
      </c>
    </row>
    <row r="40" spans="1:18" ht="28">
      <c r="A40" s="2" t="s">
        <v>69</v>
      </c>
      <c r="B40" s="3">
        <v>46221</v>
      </c>
      <c r="C40" s="2" t="s">
        <v>19</v>
      </c>
      <c r="D40" s="2" t="s">
        <v>223</v>
      </c>
      <c r="E40" s="2" t="s">
        <v>222</v>
      </c>
      <c r="F40" s="2" t="s">
        <v>297</v>
      </c>
      <c r="G40" s="2" t="s">
        <v>296</v>
      </c>
      <c r="H40" s="2"/>
      <c r="I40" s="2"/>
      <c r="J40" s="2"/>
      <c r="K40" s="2" t="s">
        <v>95</v>
      </c>
      <c r="L40" s="2" t="s">
        <v>298</v>
      </c>
      <c r="M40" s="2"/>
      <c r="N40" s="2"/>
      <c r="O40" s="2">
        <v>3039394</v>
      </c>
      <c r="P40" s="2" t="s">
        <v>186</v>
      </c>
      <c r="Q40" s="3">
        <v>46223</v>
      </c>
      <c r="R40" s="4">
        <f t="shared" ca="1" si="1"/>
        <v>2</v>
      </c>
    </row>
    <row r="41" spans="1:18" ht="28" hidden="1">
      <c r="A41" s="2" t="s">
        <v>70</v>
      </c>
      <c r="B41" s="3">
        <v>46222</v>
      </c>
      <c r="C41" s="2" t="s">
        <v>19</v>
      </c>
      <c r="D41" s="2" t="s">
        <v>158</v>
      </c>
      <c r="E41" s="2" t="s">
        <v>222</v>
      </c>
      <c r="F41" s="2" t="s">
        <v>301</v>
      </c>
      <c r="G41" s="2" t="s">
        <v>300</v>
      </c>
      <c r="H41" s="2"/>
      <c r="I41" s="2"/>
      <c r="J41" s="2"/>
      <c r="K41" s="2" t="s">
        <v>95</v>
      </c>
      <c r="L41" s="2" t="s">
        <v>302</v>
      </c>
      <c r="M41" s="2"/>
      <c r="N41" s="2"/>
      <c r="O41" s="2" t="s">
        <v>316</v>
      </c>
      <c r="P41" s="2" t="s">
        <v>186</v>
      </c>
      <c r="Q41" s="3">
        <v>46223</v>
      </c>
      <c r="R41" s="4">
        <f t="shared" ca="1" si="1"/>
        <v>1</v>
      </c>
    </row>
    <row r="42" spans="1:18" ht="56" hidden="1">
      <c r="A42" s="2" t="s">
        <v>71</v>
      </c>
      <c r="B42" s="3">
        <v>46222</v>
      </c>
      <c r="C42" s="2" t="s">
        <v>19</v>
      </c>
      <c r="D42" s="2" t="s">
        <v>203</v>
      </c>
      <c r="E42" s="2" t="s">
        <v>222</v>
      </c>
      <c r="F42" s="2" t="s">
        <v>304</v>
      </c>
      <c r="G42" s="2" t="s">
        <v>303</v>
      </c>
      <c r="H42" s="2"/>
      <c r="I42" s="2"/>
      <c r="J42" s="2"/>
      <c r="K42" s="2" t="s">
        <v>95</v>
      </c>
      <c r="L42" s="2" t="s">
        <v>305</v>
      </c>
      <c r="M42" s="2"/>
      <c r="N42" s="2"/>
      <c r="O42" s="2" t="s">
        <v>312</v>
      </c>
      <c r="P42" s="2" t="s">
        <v>186</v>
      </c>
      <c r="Q42" s="3">
        <v>46223</v>
      </c>
      <c r="R42" s="4">
        <f t="shared" ca="1" si="1"/>
        <v>1</v>
      </c>
    </row>
    <row r="43" spans="1:18" ht="42" hidden="1">
      <c r="A43" s="2" t="s">
        <v>72</v>
      </c>
      <c r="B43" s="3">
        <v>46223</v>
      </c>
      <c r="C43" s="2" t="s">
        <v>85</v>
      </c>
      <c r="D43" s="2" t="s">
        <v>203</v>
      </c>
      <c r="E43" s="2" t="s">
        <v>21</v>
      </c>
      <c r="F43" s="2" t="s">
        <v>307</v>
      </c>
      <c r="G43" s="2" t="s">
        <v>306</v>
      </c>
      <c r="H43" s="2"/>
      <c r="I43" s="2"/>
      <c r="J43" s="2"/>
      <c r="K43" s="2" t="s">
        <v>95</v>
      </c>
      <c r="L43" s="2"/>
      <c r="M43" s="2"/>
      <c r="N43" s="2" t="s">
        <v>310</v>
      </c>
      <c r="O43" s="2"/>
      <c r="P43" s="2" t="s">
        <v>186</v>
      </c>
      <c r="Q43" s="3">
        <v>46223</v>
      </c>
      <c r="R43" s="4">
        <f t="shared" ca="1" si="1"/>
        <v>0</v>
      </c>
    </row>
    <row r="44" spans="1:18" ht="28" hidden="1">
      <c r="A44" s="2" t="s">
        <v>73</v>
      </c>
      <c r="B44" s="3">
        <v>46223</v>
      </c>
      <c r="C44" s="2" t="s">
        <v>19</v>
      </c>
      <c r="D44" s="2" t="s">
        <v>203</v>
      </c>
      <c r="E44" s="2" t="s">
        <v>21</v>
      </c>
      <c r="F44" s="2" t="s">
        <v>307</v>
      </c>
      <c r="G44" s="2" t="s">
        <v>308</v>
      </c>
      <c r="H44" s="2"/>
      <c r="I44" s="2"/>
      <c r="J44" s="2"/>
      <c r="K44" s="2" t="s">
        <v>95</v>
      </c>
      <c r="L44" s="2"/>
      <c r="M44" s="2"/>
      <c r="N44" s="2"/>
      <c r="O44" s="2" t="s">
        <v>311</v>
      </c>
      <c r="P44" s="2" t="s">
        <v>186</v>
      </c>
      <c r="Q44" s="3">
        <v>46223</v>
      </c>
      <c r="R44" s="4">
        <f t="shared" ca="1" si="1"/>
        <v>0</v>
      </c>
    </row>
    <row r="45" spans="1:18">
      <c r="A45" s="2" t="s">
        <v>74</v>
      </c>
      <c r="B45" s="3"/>
      <c r="C45" s="2"/>
      <c r="D45" s="2"/>
      <c r="E45" s="2"/>
      <c r="F45" s="2"/>
      <c r="G45" s="2"/>
      <c r="H45" s="2"/>
      <c r="I45" s="2"/>
      <c r="J45" s="2"/>
      <c r="K45" s="2" t="s">
        <v>32</v>
      </c>
      <c r="L45" s="2"/>
      <c r="M45" s="2"/>
      <c r="N45" s="2"/>
      <c r="O45" s="2"/>
      <c r="P45" s="2" t="s">
        <v>30</v>
      </c>
      <c r="Q45" s="3"/>
      <c r="R45" s="4" t="str">
        <f t="shared" ca="1" si="1"/>
        <v/>
      </c>
    </row>
    <row r="46" spans="1:18">
      <c r="A46" s="2" t="s">
        <v>75</v>
      </c>
      <c r="B46" s="3"/>
      <c r="C46" s="2"/>
      <c r="D46" s="2"/>
      <c r="E46" s="2"/>
      <c r="F46" s="2"/>
      <c r="G46" s="2"/>
      <c r="H46" s="2"/>
      <c r="I46" s="2"/>
      <c r="J46" s="2"/>
      <c r="K46" s="2" t="s">
        <v>32</v>
      </c>
      <c r="L46" s="2"/>
      <c r="M46" s="2"/>
      <c r="N46" s="2"/>
      <c r="O46" s="2"/>
      <c r="P46" s="2" t="s">
        <v>30</v>
      </c>
      <c r="Q46" s="3"/>
      <c r="R46" s="4" t="str">
        <f t="shared" ca="1" si="1"/>
        <v/>
      </c>
    </row>
    <row r="47" spans="1:18">
      <c r="A47" s="2" t="s">
        <v>76</v>
      </c>
      <c r="B47" s="3"/>
      <c r="C47" s="2"/>
      <c r="D47" s="2"/>
      <c r="E47" s="2"/>
      <c r="F47" s="2"/>
      <c r="G47" s="2"/>
      <c r="H47" s="2"/>
      <c r="I47" s="2"/>
      <c r="J47" s="2"/>
      <c r="K47" s="2" t="s">
        <v>32</v>
      </c>
      <c r="L47" s="2"/>
      <c r="M47" s="2"/>
      <c r="N47" s="2"/>
      <c r="O47" s="2"/>
      <c r="P47" s="2" t="s">
        <v>30</v>
      </c>
      <c r="Q47" s="3"/>
      <c r="R47" s="4" t="str">
        <f t="shared" ca="1" si="1"/>
        <v/>
      </c>
    </row>
    <row r="48" spans="1:18">
      <c r="A48" s="2" t="s">
        <v>77</v>
      </c>
      <c r="B48" s="3"/>
      <c r="C48" s="2"/>
      <c r="D48" s="2"/>
      <c r="E48" s="2"/>
      <c r="F48" s="2"/>
      <c r="G48" s="2"/>
      <c r="H48" s="2"/>
      <c r="I48" s="2"/>
      <c r="J48" s="2"/>
      <c r="K48" s="2" t="s">
        <v>32</v>
      </c>
      <c r="L48" s="2"/>
      <c r="M48" s="2"/>
      <c r="N48" s="2"/>
      <c r="O48" s="2"/>
      <c r="P48" s="2" t="s">
        <v>30</v>
      </c>
      <c r="Q48" s="3"/>
      <c r="R48" s="4" t="str">
        <f t="shared" ca="1" si="1"/>
        <v/>
      </c>
    </row>
    <row r="49" spans="1:18">
      <c r="A49" s="2" t="s">
        <v>78</v>
      </c>
      <c r="B49" s="3"/>
      <c r="C49" s="2"/>
      <c r="D49" s="2"/>
      <c r="E49" s="2"/>
      <c r="F49" s="2"/>
      <c r="G49" s="2"/>
      <c r="H49" s="2"/>
      <c r="I49" s="2"/>
      <c r="J49" s="2"/>
      <c r="K49" s="2" t="s">
        <v>32</v>
      </c>
      <c r="L49" s="2"/>
      <c r="M49" s="2"/>
      <c r="N49" s="2"/>
      <c r="O49" s="2"/>
      <c r="P49" s="2" t="s">
        <v>30</v>
      </c>
      <c r="Q49" s="3"/>
      <c r="R49" s="4" t="str">
        <f t="shared" ca="1" si="1"/>
        <v/>
      </c>
    </row>
    <row r="50" spans="1:18">
      <c r="A50" s="2" t="s">
        <v>79</v>
      </c>
      <c r="B50" s="3"/>
      <c r="C50" s="2"/>
      <c r="D50" s="2"/>
      <c r="E50" s="2"/>
      <c r="F50" s="2"/>
      <c r="G50" s="2"/>
      <c r="H50" s="2"/>
      <c r="I50" s="2"/>
      <c r="J50" s="2"/>
      <c r="K50" s="2" t="s">
        <v>32</v>
      </c>
      <c r="L50" s="2"/>
      <c r="M50" s="2"/>
      <c r="N50" s="2"/>
      <c r="O50" s="2"/>
      <c r="P50" s="2" t="s">
        <v>30</v>
      </c>
      <c r="Q50" s="3"/>
      <c r="R50" s="4" t="str">
        <f t="shared" ca="1" si="1"/>
        <v/>
      </c>
    </row>
    <row r="51" spans="1:18">
      <c r="A51" s="2" t="s">
        <v>80</v>
      </c>
      <c r="B51" s="3"/>
      <c r="C51" s="2"/>
      <c r="D51" s="2"/>
      <c r="E51" s="2"/>
      <c r="F51" s="2"/>
      <c r="G51" s="2"/>
      <c r="H51" s="2"/>
      <c r="I51" s="2"/>
      <c r="J51" s="2"/>
      <c r="K51" s="2" t="s">
        <v>32</v>
      </c>
      <c r="L51" s="2"/>
      <c r="M51" s="2"/>
      <c r="N51" s="2"/>
      <c r="O51" s="2"/>
      <c r="P51" s="2" t="s">
        <v>30</v>
      </c>
      <c r="Q51" s="3"/>
      <c r="R51" s="4" t="str">
        <f t="shared" ca="1" si="1"/>
        <v/>
      </c>
    </row>
  </sheetData>
  <conditionalFormatting sqref="C2:C51">
    <cfRule type="expression" dxfId="8" priority="1">
      <formula>C2="Critical"</formula>
    </cfRule>
    <cfRule type="expression" dxfId="7" priority="2">
      <formula>C2="High"</formula>
    </cfRule>
    <cfRule type="expression" dxfId="6" priority="3">
      <formula>C2="Medium"</formula>
    </cfRule>
    <cfRule type="expression" dxfId="5" priority="4">
      <formula>C2="Low"</formula>
    </cfRule>
  </conditionalFormatting>
  <conditionalFormatting sqref="K2:K51">
    <cfRule type="expression" dxfId="4" priority="5">
      <formula>OR(K2="Verified",K2="Closed")</formula>
    </cfRule>
    <cfRule type="expression" dxfId="3" priority="6">
      <formula>K2="Blocked"</formula>
    </cfRule>
  </conditionalFormatting>
  <conditionalFormatting sqref="P2:P51">
    <cfRule type="expression" dxfId="2" priority="7">
      <formula>P2="Yes"</formula>
    </cfRule>
  </conditionalFormatting>
  <conditionalFormatting sqref="R2:R51">
    <cfRule type="cellIs" dxfId="1" priority="8" operator="greaterThan">
      <formula>14</formula>
    </cfRule>
  </conditionalFormatting>
  <dataValidations count="5">
    <dataValidation type="list" sqref="C2:C51" xr:uid="{00000000-0002-0000-0000-000000000000}">
      <formula1>"Critical,High,Medium,Low"</formula1>
    </dataValidation>
    <dataValidation type="list" sqref="D2:D51" xr:uid="{00000000-0002-0000-0000-000001000000}">
      <formula1>"Authentication,Dashboard,Weight,Exercise,Nutrition,Hydration,Blood Pressure,Glucose,Kidney Labs,AI Estimate,AI Coach,Reports,Admin,Database,Deployment,Security,Mobile / UI,Other"</formula1>
    </dataValidation>
    <dataValidation type="list" sqref="E2:E51" xr:uid="{00000000-0002-0000-0000-000002000000}">
      <formula1>"Bug,Enhancement,Task,Security,Data Issue"</formula1>
    </dataValidation>
    <dataValidation type="list" sqref="K2:K51" xr:uid="{00000000-0002-0000-0000-000003000000}">
      <formula1>"Open,Investigating,Branch Created,In Development,Ready for Testing,Testing,Blocked,Verified,Closed,Deferred"</formula1>
    </dataValidation>
    <dataValidation type="list" sqref="P2:P51" xr:uid="{00000000-0002-0000-0000-000004000000}">
      <formula1>"No,Yes,N/A"</formula1>
    </dataValidation>
  </dataValidations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/>
  </sheetViews>
  <sheetFormatPr defaultRowHeight="14"/>
  <cols>
    <col min="1" max="1" width="23" customWidth="1"/>
    <col min="2" max="2" width="12" customWidth="1"/>
    <col min="4" max="4" width="22" customWidth="1"/>
    <col min="5" max="5" width="12" customWidth="1"/>
    <col min="7" max="7" width="16" customWidth="1"/>
    <col min="8" max="8" width="12" customWidth="1"/>
  </cols>
  <sheetData>
    <row r="1" spans="1:8">
      <c r="A1" s="7" t="s">
        <v>81</v>
      </c>
      <c r="B1" s="7"/>
      <c r="C1" s="7"/>
      <c r="D1" s="7"/>
      <c r="E1" s="7"/>
      <c r="F1" s="7"/>
      <c r="G1" s="7"/>
      <c r="H1" s="7"/>
    </row>
    <row r="2" spans="1:8">
      <c r="A2" s="7"/>
      <c r="B2" s="7"/>
      <c r="C2" s="7"/>
      <c r="D2" s="7"/>
      <c r="E2" s="7"/>
      <c r="F2" s="7"/>
      <c r="G2" s="7"/>
      <c r="H2" s="7"/>
    </row>
    <row r="4" spans="1:8">
      <c r="A4" s="1" t="s">
        <v>82</v>
      </c>
      <c r="B4" s="1" t="s">
        <v>83</v>
      </c>
      <c r="C4" s="5"/>
      <c r="D4" s="1" t="s">
        <v>10</v>
      </c>
      <c r="E4" s="1" t="s">
        <v>83</v>
      </c>
      <c r="F4" s="5"/>
      <c r="G4" s="1" t="s">
        <v>2</v>
      </c>
      <c r="H4" s="1" t="s">
        <v>83</v>
      </c>
    </row>
    <row r="5" spans="1:8">
      <c r="A5" s="5" t="s">
        <v>84</v>
      </c>
      <c r="B5" s="5">
        <f>COUNTIF('Bug Tracker'!F2:F51,"&lt;&gt;")</f>
        <v>43</v>
      </c>
      <c r="C5" s="5"/>
      <c r="D5" s="5" t="s">
        <v>32</v>
      </c>
      <c r="E5" s="5">
        <f>COUNTIF('Bug Tracker'!K2:K51,D5)</f>
        <v>7</v>
      </c>
      <c r="F5" s="5"/>
      <c r="G5" s="5" t="s">
        <v>85</v>
      </c>
      <c r="H5" s="5">
        <f>COUNTIF('Bug Tracker'!C2:C51,G5)</f>
        <v>20</v>
      </c>
    </row>
    <row r="6" spans="1:8">
      <c r="A6" s="5" t="s">
        <v>86</v>
      </c>
      <c r="B6" s="5">
        <f>COUNTIFS('Bug Tracker'!F2:F51,"&lt;&gt;",'Bug Tracker'!K2:K51,"&lt;&gt;Closed",'Bug Tracker'!K2:K51,"&lt;&gt;Verified")</f>
        <v>0</v>
      </c>
      <c r="C6" s="5"/>
      <c r="D6" s="5" t="s">
        <v>27</v>
      </c>
      <c r="E6" s="5">
        <f>COUNTIF('Bug Tracker'!K2:K51,D6)</f>
        <v>0</v>
      </c>
      <c r="F6" s="5"/>
      <c r="G6" s="5" t="s">
        <v>19</v>
      </c>
      <c r="H6" s="5">
        <f>COUNTIF('Bug Tracker'!C2:C51,G6)</f>
        <v>18</v>
      </c>
    </row>
    <row r="7" spans="1:8">
      <c r="A7" s="5" t="s">
        <v>85</v>
      </c>
      <c r="B7" s="5">
        <f>COUNTIF('Bug Tracker'!C2:C51,"Critical")</f>
        <v>20</v>
      </c>
      <c r="C7" s="5"/>
      <c r="D7" s="5" t="s">
        <v>87</v>
      </c>
      <c r="E7" s="5">
        <f>COUNTIF('Bug Tracker'!K2:K51,D7)</f>
        <v>0</v>
      </c>
      <c r="F7" s="5"/>
      <c r="G7" s="5" t="s">
        <v>88</v>
      </c>
      <c r="H7" s="5">
        <f>COUNTIF('Bug Tracker'!C2:C51,G7)</f>
        <v>1</v>
      </c>
    </row>
    <row r="8" spans="1:8">
      <c r="A8" s="5" t="s">
        <v>19</v>
      </c>
      <c r="B8" s="5">
        <f>COUNTIF('Bug Tracker'!C2:C51,"High")</f>
        <v>18</v>
      </c>
      <c r="C8" s="5"/>
      <c r="D8" s="5" t="s">
        <v>89</v>
      </c>
      <c r="E8" s="5">
        <f>COUNTIF('Bug Tracker'!K2:K51,D8)</f>
        <v>0</v>
      </c>
      <c r="F8" s="5"/>
      <c r="G8" s="5" t="s">
        <v>90</v>
      </c>
      <c r="H8" s="5">
        <f>COUNTIF('Bug Tracker'!C2:C51,G8)</f>
        <v>4</v>
      </c>
    </row>
    <row r="9" spans="1:8">
      <c r="A9" s="5" t="s">
        <v>91</v>
      </c>
      <c r="B9" s="5">
        <f>COUNTIF('Bug Tracker'!K2:K51,"Ready for Testing")</f>
        <v>0</v>
      </c>
      <c r="C9" s="5"/>
      <c r="D9" s="5" t="s">
        <v>91</v>
      </c>
      <c r="E9" s="5">
        <f>COUNTIF('Bug Tracker'!K2:K51,D9)</f>
        <v>0</v>
      </c>
      <c r="F9" s="5"/>
      <c r="G9" s="5"/>
      <c r="H9" s="5"/>
    </row>
    <row r="10" spans="1:8">
      <c r="A10" s="5" t="s">
        <v>92</v>
      </c>
      <c r="B10" s="5">
        <f>COUNTIF('Bug Tracker'!K2:K51,"Blocked")</f>
        <v>0</v>
      </c>
      <c r="C10" s="5"/>
      <c r="D10" s="5" t="s">
        <v>93</v>
      </c>
      <c r="E10" s="5">
        <f>COUNTIF('Bug Tracker'!K2:K51,D10)</f>
        <v>0</v>
      </c>
      <c r="F10" s="5"/>
      <c r="G10" s="5"/>
      <c r="H10" s="5"/>
    </row>
    <row r="11" spans="1:8">
      <c r="A11" s="5" t="s">
        <v>94</v>
      </c>
      <c r="B11" s="5">
        <f>COUNTIF('Bug Tracker'!K2:K51,"Closed")+COUNTIF('Bug Tracker'!K2:K51,"Verified")</f>
        <v>43</v>
      </c>
      <c r="C11" s="5"/>
      <c r="D11" s="5" t="s">
        <v>92</v>
      </c>
      <c r="E11" s="5">
        <f>COUNTIF('Bug Tracker'!K2:K51,D11)</f>
        <v>0</v>
      </c>
      <c r="F11" s="5"/>
      <c r="G11" s="5"/>
      <c r="H11" s="5"/>
    </row>
    <row r="12" spans="1:8">
      <c r="A12" s="5"/>
      <c r="B12" s="5"/>
      <c r="C12" s="5"/>
      <c r="D12" s="5" t="s">
        <v>15</v>
      </c>
      <c r="E12" s="5">
        <f>COUNTIF('Bug Tracker'!K2:K51,D12)</f>
        <v>0</v>
      </c>
      <c r="F12" s="5"/>
      <c r="G12" s="5"/>
      <c r="H12" s="5"/>
    </row>
    <row r="13" spans="1:8">
      <c r="A13" s="5"/>
      <c r="B13" s="5"/>
      <c r="C13" s="5"/>
      <c r="D13" s="5" t="s">
        <v>95</v>
      </c>
      <c r="E13" s="5">
        <f>COUNTIF('Bug Tracker'!K2:K51,D13)</f>
        <v>43</v>
      </c>
      <c r="F13" s="5"/>
      <c r="G13" s="5"/>
      <c r="H13" s="5"/>
    </row>
    <row r="14" spans="1:8">
      <c r="A14" s="5"/>
      <c r="B14" s="5"/>
      <c r="C14" s="5"/>
      <c r="D14" s="5" t="s">
        <v>96</v>
      </c>
      <c r="E14" s="5">
        <f>COUNTIF('Bug Tracker'!K2:K51,D14)</f>
        <v>0</v>
      </c>
      <c r="F14" s="5"/>
      <c r="G14" s="5"/>
      <c r="H14" s="5"/>
    </row>
    <row r="16" spans="1:8" ht="24" customHeight="1">
      <c r="A16" s="8" t="s">
        <v>97</v>
      </c>
      <c r="B16" s="8"/>
      <c r="C16" s="8"/>
      <c r="D16" s="8"/>
      <c r="E16" s="8"/>
      <c r="F16" s="8"/>
      <c r="G16" s="8"/>
      <c r="H16" s="8"/>
    </row>
  </sheetData>
  <mergeCells count="2">
    <mergeCell ref="A1:H2"/>
    <mergeCell ref="A16:H16"/>
  </mergeCells>
  <conditionalFormatting sqref="A5:B11">
    <cfRule type="dataBar" priority="1">
      <dataBar>
        <cfvo type="min"/>
        <cfvo type="max"/>
        <color rgb="FF4F81BD"/>
      </dataBar>
    </cfRule>
    <cfRule type="dataBar" priority="4">
      <dataBar>
        <cfvo type="min"/>
        <cfvo type="max"/>
        <color rgb="FF4F81BD"/>
      </dataBar>
      <extLst>
        <ext xmlns:x14="http://schemas.microsoft.com/office/spreadsheetml/2009/9/main" uri="{B025F937-C7B1-47D3-B67F-A62EFF666E3E}">
          <x14:id>{E5D2A047-4238-8741-E2B3-85669B88D1C8}</x14:id>
        </ext>
      </extLst>
    </cfRule>
  </conditionalFormatting>
  <conditionalFormatting sqref="E5:E14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{169BE573-5479-287D-BE93-74B15E11EBFA}</x14:id>
        </ext>
      </extLst>
    </cfRule>
  </conditionalFormatting>
  <conditionalFormatting sqref="H5:H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{C5593AA7-0028-5BEA-E3E0-8178783C1A47}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5D2A047-4238-8741-E2B3-85669B88D1C8}">
            <x14:dataBar>
              <x14:cfvo type="min"/>
              <x14:cfvo type="max"/>
              <x14:negativeFillColor auto="1"/>
              <x14:axisColor auto="1"/>
            </x14:dataBar>
          </x14:cfRule>
          <xm:sqref>A5:B11</xm:sqref>
        </x14:conditionalFormatting>
        <x14:conditionalFormatting xmlns:xm="http://schemas.microsoft.com/office/excel/2006/main">
          <x14:cfRule type="dataBar" id="{169BE573-5479-287D-BE93-74B15E11EBFA}">
            <x14:dataBar>
              <x14:cfvo type="min"/>
              <x14:cfvo type="max"/>
              <x14:negativeFillColor auto="1"/>
              <x14:axisColor auto="1"/>
            </x14:dataBar>
          </x14:cfRule>
          <xm:sqref>E5:E14</xm:sqref>
        </x14:conditionalFormatting>
        <x14:conditionalFormatting xmlns:xm="http://schemas.microsoft.com/office/excel/2006/main">
          <x14:cfRule type="dataBar" id="{C5593AA7-0028-5BEA-E3E0-8178783C1A47}">
            <x14:dataBar>
              <x14:cfvo type="min"/>
              <x14:cfvo type="max"/>
              <x14:negativeFillColor auto="1"/>
              <x14:axisColor auto="1"/>
            </x14:dataBar>
          </x14:cfRule>
          <xm:sqref>H5:H8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F2"/>
    </sheetView>
  </sheetViews>
  <sheetFormatPr defaultRowHeight="14"/>
  <cols>
    <col min="1" max="1" width="10" customWidth="1"/>
    <col min="2" max="2" width="48" customWidth="1"/>
    <col min="3" max="3" width="46" customWidth="1"/>
  </cols>
  <sheetData>
    <row r="1" spans="1:6">
      <c r="A1" s="9" t="s">
        <v>98</v>
      </c>
      <c r="B1" s="9"/>
      <c r="C1" s="9"/>
      <c r="D1" s="9"/>
      <c r="E1" s="9"/>
      <c r="F1" s="9"/>
    </row>
    <row r="2" spans="1:6">
      <c r="A2" s="9"/>
      <c r="B2" s="9"/>
      <c r="C2" s="9"/>
      <c r="D2" s="9"/>
      <c r="E2" s="9"/>
      <c r="F2" s="9"/>
    </row>
    <row r="4" spans="1:6">
      <c r="A4" s="1" t="s">
        <v>99</v>
      </c>
      <c r="B4" s="1" t="s">
        <v>100</v>
      </c>
      <c r="C4" s="1" t="s">
        <v>101</v>
      </c>
    </row>
    <row r="5" spans="1:6">
      <c r="A5" s="2" t="s">
        <v>102</v>
      </c>
      <c r="B5" s="2" t="s">
        <v>103</v>
      </c>
      <c r="C5" s="2" t="s">
        <v>104</v>
      </c>
    </row>
    <row r="6" spans="1:6" ht="28">
      <c r="A6" s="2" t="s">
        <v>105</v>
      </c>
      <c r="B6" s="2" t="s">
        <v>106</v>
      </c>
      <c r="C6" s="2" t="s">
        <v>107</v>
      </c>
    </row>
    <row r="7" spans="1:6" ht="28">
      <c r="A7" s="2" t="s">
        <v>108</v>
      </c>
      <c r="B7" s="2" t="s">
        <v>109</v>
      </c>
      <c r="C7" s="2" t="s">
        <v>110</v>
      </c>
    </row>
    <row r="8" spans="1:6" ht="28">
      <c r="A8" s="2" t="s">
        <v>111</v>
      </c>
      <c r="B8" s="2" t="s">
        <v>112</v>
      </c>
      <c r="C8" s="2" t="s">
        <v>113</v>
      </c>
    </row>
    <row r="9" spans="1:6">
      <c r="A9" s="2" t="s">
        <v>114</v>
      </c>
      <c r="B9" s="2" t="s">
        <v>115</v>
      </c>
      <c r="C9" s="2" t="s">
        <v>116</v>
      </c>
    </row>
    <row r="10" spans="1:6" ht="28">
      <c r="A10" s="2" t="s">
        <v>117</v>
      </c>
      <c r="B10" s="2" t="s">
        <v>118</v>
      </c>
      <c r="C10" s="2" t="s">
        <v>119</v>
      </c>
    </row>
    <row r="11" spans="1:6" ht="28">
      <c r="A11" s="2" t="s">
        <v>120</v>
      </c>
      <c r="B11" s="2" t="s">
        <v>121</v>
      </c>
      <c r="C11" s="2" t="s">
        <v>122</v>
      </c>
    </row>
    <row r="12" spans="1:6" ht="28">
      <c r="A12" s="2" t="s">
        <v>123</v>
      </c>
      <c r="B12" s="2" t="s">
        <v>124</v>
      </c>
      <c r="C12" s="2" t="s">
        <v>125</v>
      </c>
    </row>
    <row r="14" spans="1:6">
      <c r="A14" s="10" t="s">
        <v>126</v>
      </c>
      <c r="B14" s="10"/>
      <c r="C14" s="10"/>
    </row>
    <row r="15" spans="1:6">
      <c r="A15" s="11" t="s">
        <v>127</v>
      </c>
      <c r="B15" s="12"/>
      <c r="C15" s="12"/>
    </row>
    <row r="16" spans="1:6">
      <c r="A16" s="12"/>
      <c r="B16" s="12"/>
      <c r="C16" s="12"/>
    </row>
  </sheetData>
  <mergeCells count="3">
    <mergeCell ref="A1:F2"/>
    <mergeCell ref="A14:C14"/>
    <mergeCell ref="A15:C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1"/>
  <sheetViews>
    <sheetView workbookViewId="0"/>
  </sheetViews>
  <sheetFormatPr defaultRowHeight="14"/>
  <cols>
    <col min="1" max="1" width="12" customWidth="1"/>
    <col min="2" max="2" width="14" customWidth="1"/>
    <col min="3" max="3" width="15" customWidth="1"/>
    <col min="4" max="4" width="40" customWidth="1"/>
    <col min="5" max="5" width="28" customWidth="1"/>
    <col min="6" max="6" width="18" customWidth="1"/>
    <col min="7" max="7" width="38" customWidth="1"/>
  </cols>
  <sheetData>
    <row r="1" spans="1:7">
      <c r="A1" s="1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12</v>
      </c>
    </row>
    <row r="2" spans="1:7">
      <c r="A2" s="5"/>
      <c r="B2" s="6"/>
      <c r="C2" s="5" t="s">
        <v>134</v>
      </c>
      <c r="D2" s="5"/>
      <c r="E2" s="5"/>
      <c r="F2" s="5" t="s">
        <v>30</v>
      </c>
      <c r="G2" s="5"/>
    </row>
    <row r="3" spans="1:7">
      <c r="A3" s="5"/>
      <c r="B3" s="6"/>
      <c r="C3" s="5" t="s">
        <v>134</v>
      </c>
      <c r="D3" s="5"/>
      <c r="E3" s="5"/>
      <c r="F3" s="5" t="s">
        <v>30</v>
      </c>
      <c r="G3" s="5"/>
    </row>
    <row r="4" spans="1:7">
      <c r="A4" s="5"/>
      <c r="B4" s="6"/>
      <c r="C4" s="5" t="s">
        <v>134</v>
      </c>
      <c r="D4" s="5"/>
      <c r="E4" s="5"/>
      <c r="F4" s="5" t="s">
        <v>30</v>
      </c>
      <c r="G4" s="5"/>
    </row>
    <row r="5" spans="1:7">
      <c r="A5" s="5"/>
      <c r="B5" s="6"/>
      <c r="C5" s="5" t="s">
        <v>134</v>
      </c>
      <c r="D5" s="5"/>
      <c r="E5" s="5"/>
      <c r="F5" s="5" t="s">
        <v>30</v>
      </c>
      <c r="G5" s="5"/>
    </row>
    <row r="6" spans="1:7">
      <c r="A6" s="5"/>
      <c r="B6" s="6"/>
      <c r="C6" s="5" t="s">
        <v>134</v>
      </c>
      <c r="D6" s="5"/>
      <c r="E6" s="5"/>
      <c r="F6" s="5" t="s">
        <v>30</v>
      </c>
      <c r="G6" s="5"/>
    </row>
    <row r="7" spans="1:7">
      <c r="A7" s="5"/>
      <c r="B7" s="6"/>
      <c r="C7" s="5" t="s">
        <v>134</v>
      </c>
      <c r="D7" s="5"/>
      <c r="E7" s="5"/>
      <c r="F7" s="5" t="s">
        <v>30</v>
      </c>
      <c r="G7" s="5"/>
    </row>
    <row r="8" spans="1:7">
      <c r="A8" s="5"/>
      <c r="B8" s="6"/>
      <c r="C8" s="5" t="s">
        <v>134</v>
      </c>
      <c r="D8" s="5"/>
      <c r="E8" s="5"/>
      <c r="F8" s="5" t="s">
        <v>30</v>
      </c>
      <c r="G8" s="5"/>
    </row>
    <row r="9" spans="1:7">
      <c r="A9" s="5"/>
      <c r="B9" s="6"/>
      <c r="C9" s="5" t="s">
        <v>134</v>
      </c>
      <c r="D9" s="5"/>
      <c r="E9" s="5"/>
      <c r="F9" s="5" t="s">
        <v>30</v>
      </c>
      <c r="G9" s="5"/>
    </row>
    <row r="10" spans="1:7">
      <c r="A10" s="5"/>
      <c r="B10" s="6"/>
      <c r="C10" s="5" t="s">
        <v>134</v>
      </c>
      <c r="D10" s="5"/>
      <c r="E10" s="5"/>
      <c r="F10" s="5" t="s">
        <v>30</v>
      </c>
      <c r="G10" s="5"/>
    </row>
    <row r="11" spans="1:7">
      <c r="A11" s="5"/>
      <c r="B11" s="6"/>
      <c r="C11" s="5" t="s">
        <v>134</v>
      </c>
      <c r="D11" s="5"/>
      <c r="E11" s="5"/>
      <c r="F11" s="5" t="s">
        <v>30</v>
      </c>
      <c r="G11" s="5"/>
    </row>
    <row r="12" spans="1:7">
      <c r="A12" s="5"/>
      <c r="B12" s="6"/>
      <c r="C12" s="5" t="s">
        <v>134</v>
      </c>
      <c r="D12" s="5"/>
      <c r="E12" s="5"/>
      <c r="F12" s="5" t="s">
        <v>30</v>
      </c>
      <c r="G12" s="5"/>
    </row>
    <row r="13" spans="1:7">
      <c r="A13" s="5"/>
      <c r="B13" s="6"/>
      <c r="C13" s="5" t="s">
        <v>134</v>
      </c>
      <c r="D13" s="5"/>
      <c r="E13" s="5"/>
      <c r="F13" s="5" t="s">
        <v>30</v>
      </c>
      <c r="G13" s="5"/>
    </row>
    <row r="14" spans="1:7">
      <c r="A14" s="5"/>
      <c r="B14" s="6"/>
      <c r="C14" s="5" t="s">
        <v>134</v>
      </c>
      <c r="D14" s="5"/>
      <c r="E14" s="5"/>
      <c r="F14" s="5" t="s">
        <v>30</v>
      </c>
      <c r="G14" s="5"/>
    </row>
    <row r="15" spans="1:7">
      <c r="A15" s="5"/>
      <c r="B15" s="6"/>
      <c r="C15" s="5" t="s">
        <v>134</v>
      </c>
      <c r="D15" s="5"/>
      <c r="E15" s="5"/>
      <c r="F15" s="5" t="s">
        <v>30</v>
      </c>
      <c r="G15" s="5"/>
    </row>
    <row r="16" spans="1:7">
      <c r="A16" s="5"/>
      <c r="B16" s="6"/>
      <c r="C16" s="5" t="s">
        <v>134</v>
      </c>
      <c r="D16" s="5"/>
      <c r="E16" s="5"/>
      <c r="F16" s="5" t="s">
        <v>30</v>
      </c>
      <c r="G16" s="5"/>
    </row>
    <row r="17" spans="1:7">
      <c r="A17" s="5"/>
      <c r="B17" s="6"/>
      <c r="C17" s="5" t="s">
        <v>134</v>
      </c>
      <c r="D17" s="5"/>
      <c r="E17" s="5"/>
      <c r="F17" s="5" t="s">
        <v>30</v>
      </c>
      <c r="G17" s="5"/>
    </row>
    <row r="18" spans="1:7">
      <c r="A18" s="5"/>
      <c r="B18" s="6"/>
      <c r="C18" s="5" t="s">
        <v>134</v>
      </c>
      <c r="D18" s="5"/>
      <c r="E18" s="5"/>
      <c r="F18" s="5" t="s">
        <v>30</v>
      </c>
      <c r="G18" s="5"/>
    </row>
    <row r="19" spans="1:7">
      <c r="A19" s="5"/>
      <c r="B19" s="6"/>
      <c r="C19" s="5" t="s">
        <v>134</v>
      </c>
      <c r="D19" s="5"/>
      <c r="E19" s="5"/>
      <c r="F19" s="5" t="s">
        <v>30</v>
      </c>
      <c r="G19" s="5"/>
    </row>
    <row r="20" spans="1:7">
      <c r="A20" s="5"/>
      <c r="B20" s="6"/>
      <c r="C20" s="5" t="s">
        <v>134</v>
      </c>
      <c r="D20" s="5"/>
      <c r="E20" s="5"/>
      <c r="F20" s="5" t="s">
        <v>30</v>
      </c>
      <c r="G20" s="5"/>
    </row>
    <row r="21" spans="1:7">
      <c r="A21" s="5"/>
      <c r="B21" s="6"/>
      <c r="C21" s="5" t="s">
        <v>134</v>
      </c>
      <c r="D21" s="5"/>
      <c r="E21" s="5"/>
      <c r="F21" s="5" t="s">
        <v>30</v>
      </c>
      <c r="G21" s="5"/>
    </row>
  </sheetData>
  <conditionalFormatting sqref="F2:F21">
    <cfRule type="expression" dxfId="0" priority="1">
      <formula>F2="Yes"</formula>
    </cfRule>
  </conditionalFormatting>
  <dataValidations count="2">
    <dataValidation type="list" sqref="C2:C21" xr:uid="{00000000-0002-0000-0300-000000000000}">
      <formula1>"Development,Test,Production"</formula1>
    </dataValidation>
    <dataValidation type="list" sqref="F2:F21" xr:uid="{00000000-0002-0000-0300-000001000000}">
      <formula1>"No,Yes"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Bug Tracker</vt:lpstr>
      <vt:lpstr>Dashboard</vt:lpstr>
      <vt:lpstr>Instructions</vt:lpstr>
      <vt:lpstr>Release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hinshaw</dc:creator>
  <cp:lastModifiedBy>kevin hinshawfam.com</cp:lastModifiedBy>
  <dcterms:created xsi:type="dcterms:W3CDTF">2026-07-13T19:34:46Z</dcterms:created>
  <dcterms:modified xsi:type="dcterms:W3CDTF">2026-07-20T23:51:27Z</dcterms:modified>
</cp:coreProperties>
</file>